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대우공업" sheetId="1" r:id="rId1"/>
    <sheet name="풍기산업" sheetId="2" r:id="rId2"/>
    <sheet name="다인" sheetId="3" r:id="rId3"/>
    <sheet name="호원오토" sheetId="4" r:id="rId4"/>
    <sheet name="인알파코리아" sheetId="5" r:id="rId5"/>
    <sheet name="최신단가" sheetId="6" r:id="rId6"/>
  </sheets>
  <definedNames>
    <definedName name="_">#REF!</definedName>
    <definedName name="_?">#REF!</definedName>
    <definedName name="_?____?">#N/A</definedName>
    <definedName name="_?쨲?f">#REF!</definedName>
    <definedName name="__?쨲?f">#REF!</definedName>
    <definedName name="___?">#REF!</definedName>
    <definedName name="____?____?">#N/A</definedName>
    <definedName name="______R3_t">#N/A</definedName>
    <definedName name="______R3_t1">#N/A</definedName>
    <definedName name="____NN2">#REF!</definedName>
    <definedName name="____PLT1">#REF!</definedName>
    <definedName name="____PLT2">#REF!</definedName>
    <definedName name="____SD1">#REF!</definedName>
    <definedName name="____SD2">#REF!</definedName>
    <definedName name="___FF3">#REF!</definedName>
    <definedName name="___NN2">#REF!</definedName>
    <definedName name="___PLT1">#REF!</definedName>
    <definedName name="___PLT2">#REF!</definedName>
    <definedName name="___SD1">#REF!</definedName>
    <definedName name="___SD2">#REF!</definedName>
    <definedName name="__A300000">#REF!</definedName>
    <definedName name="__ASD2">#REF!</definedName>
    <definedName name="__B2">#REF!</definedName>
    <definedName name="__KI9" hidden="1">{#N/A,#N/A,TRUE,"Y생산";#N/A,#N/A,TRUE,"Y판매";#N/A,#N/A,TRUE,"Y총물량";#N/A,#N/A,TRUE,"Y능력";#N/A,#N/A,TRUE,"YKD"}</definedName>
    <definedName name="__NN2">#REF!</definedName>
    <definedName name="__PLT1">#REF!</definedName>
    <definedName name="__PLT2">#REF!</definedName>
    <definedName name="__PRG15">#REF!</definedName>
    <definedName name="__QQ123">#REF!</definedName>
    <definedName name="__RLA2" hidden="1">{#N/A,#N/A,FALSE,"96 3월물량표";#N/A,#N/A,FALSE,"96 4월물량표";#N/A,#N/A,FALSE,"96 5월물량표"}</definedName>
    <definedName name="__RLA5" hidden="1">{#N/A,#N/A,TRUE,"Y생산";#N/A,#N/A,TRUE,"Y판매";#N/A,#N/A,TRUE,"Y총물량";#N/A,#N/A,TRUE,"Y능력";#N/A,#N/A,TRUE,"YKD"}</definedName>
    <definedName name="__RLA6" hidden="1">{#N/A,#N/A,TRUE,"Y생산";#N/A,#N/A,TRUE,"Y판매";#N/A,#N/A,TRUE,"Y총물량";#N/A,#N/A,TRUE,"Y능력";#N/A,#N/A,TRUE,"YKD"}</definedName>
    <definedName name="__SD1">#REF!</definedName>
    <definedName name="__SD2">#REF!</definedName>
    <definedName name="__SUM1" hidden="1">{#N/A,#N/A,FALSE,"단축1";#N/A,#N/A,FALSE,"단축2";#N/A,#N/A,FALSE,"단축3";#N/A,#N/A,FALSE,"장축";#N/A,#N/A,FALSE,"4WD"}</definedName>
    <definedName name="__T67000">#REF!</definedName>
    <definedName name="__T70000">#REF!</definedName>
    <definedName name="__VAR1">#REF!</definedName>
    <definedName name="__VEN425">#N/A</definedName>
    <definedName name="__VY1">#REF!</definedName>
    <definedName name="__x1">#REF!</definedName>
    <definedName name="__x2">#REF!</definedName>
    <definedName name="__XG2" hidden="1">{#N/A,#N/A,FALSE,"단축1";#N/A,#N/A,FALSE,"단축2";#N/A,#N/A,FALSE,"단축3";#N/A,#N/A,FALSE,"장축";#N/A,#N/A,FALSE,"4WD"}</definedName>
    <definedName name="__番">#N/A</definedName>
    <definedName name="_￡A￡´1">#N/A</definedName>
    <definedName name="_1">#REF!</definedName>
    <definedName name="_1_0">#REF!</definedName>
    <definedName name="_106Å_____R3_t">#REF!</definedName>
    <definedName name="_11_0">#REF!</definedName>
    <definedName name="_110T2_" hidden="1">{#N/A,#N/A,FALSE,"단축1";#N/A,#N/A,FALSE,"단축2";#N/A,#N/A,FALSE,"단축3";#N/A,#N/A,FALSE,"장축";#N/A,#N/A,FALSE,"4WD"}</definedName>
    <definedName name="_112A3_" hidden="1">{#N/A,#N/A,FALSE,"단축1";#N/A,#N/A,FALSE,"단축2";#N/A,#N/A,FALSE,"단축3";#N/A,#N/A,FALSE,"장축";#N/A,#N/A,FALSE,"4WD"}</definedName>
    <definedName name="_116AA1_">#REF!</definedName>
    <definedName name="_118ÁÖ¿ä¹_Á_Á¡">#REF!</definedName>
    <definedName name="_118T3_" hidden="1">{#N/A,#N/A,FALSE,"단축1";#N/A,#N/A,FALSE,"단축2";#N/A,#N/A,FALSE,"단축3";#N/A,#N/A,FALSE,"장축";#N/A,#N/A,FALSE,"4WD"}</definedName>
    <definedName name="_120AO¿a¹RA_A¡">#REF!</definedName>
    <definedName name="_123AS6_" hidden="1">{#N/A,#N/A,FALSE,"Australien";#N/A,#N/A,FALSE,"Birmingham";#N/A,#N/A,FALSE,"Brasilien";#N/A,#N/A,FALSE,"Prag";#N/A,#N/A,FALSE,"Spanien";#N/A,#N/A,FALSE,"Malaysia ( Com)";#N/A,#N/A,FALSE,"Malaysia (Instr)"}</definedName>
    <definedName name="_125B1_">#REF!</definedName>
    <definedName name="_126B2_">#REF!</definedName>
    <definedName name="_126T5_" hidden="1">{#N/A,#N/A,FALSE,"단축1";#N/A,#N/A,FALSE,"단축2";#N/A,#N/A,FALSE,"단축3";#N/A,#N/A,FALSE,"장축";#N/A,#N/A,FALSE,"4WD"}</definedName>
    <definedName name="_128BB1_">#REF!</definedName>
    <definedName name="_132DD1_">#REF!</definedName>
    <definedName name="_135W2_" hidden="1">{#N/A,#N/A,FALSE,"품의서";#N/A,#N/A,FALSE,"전제";#N/A,#N/A,FALSE,"총손";#N/A,#N/A,FALSE,"손익"}</definedName>
    <definedName name="_136EE1_">#REF!</definedName>
    <definedName name="_137x1_">#REF!</definedName>
    <definedName name="_138x2_">#REF!</definedName>
    <definedName name="_140FF3_">#REF!</definedName>
    <definedName name="_142GG1_">#REF!</definedName>
    <definedName name="_146K7_" hidden="1">{#N/A,#N/A,TRUE,"Y생산";#N/A,#N/A,TRUE,"Y판매";#N/A,#N/A,TRUE,"Y총물량";#N/A,#N/A,TRUE,"Y능력";#N/A,#N/A,TRUE,"YKD"}</definedName>
    <definedName name="_149k8_" hidden="1">{#N/A,#N/A,FALSE,"단축1";#N/A,#N/A,FALSE,"단축2";#N/A,#N/A,FALSE,"단축3";#N/A,#N/A,FALSE,"장축";#N/A,#N/A,FALSE,"4WD"}</definedName>
    <definedName name="_15_?쨲?f">#REF!</definedName>
    <definedName name="_15_0Print_A">#REF!</definedName>
    <definedName name="_152k9_" hidden="1">{#N/A,#N/A,FALSE,"단축1";#N/A,#N/A,FALSE,"단축2";#N/A,#N/A,FALSE,"단축3";#N/A,#N/A,FALSE,"장축";#N/A,#N/A,FALSE,"4WD"}</definedName>
    <definedName name="_155P2_" hidden="1">{#N/A,#N/A,FALSE,"단축1";#N/A,#N/A,FALSE,"단축2";#N/A,#N/A,FALSE,"단축3";#N/A,#N/A,FALSE,"장축";#N/A,#N/A,FALSE,"4WD"}</definedName>
    <definedName name="_160T2_" hidden="1">{#N/A,#N/A,FALSE,"단축1";#N/A,#N/A,FALSE,"단축2";#N/A,#N/A,FALSE,"단축3";#N/A,#N/A,FALSE,"장축";#N/A,#N/A,FALSE,"4WD"}</definedName>
    <definedName name="_163T3_" hidden="1">{#N/A,#N/A,FALSE,"단축1";#N/A,#N/A,FALSE,"단축2";#N/A,#N/A,FALSE,"단축3";#N/A,#N/A,FALSE,"장축";#N/A,#N/A,FALSE,"4WD"}</definedName>
    <definedName name="_166T5_" hidden="1">{#N/A,#N/A,FALSE,"단축1";#N/A,#N/A,FALSE,"단축2";#N/A,#N/A,FALSE,"단축3";#N/A,#N/A,FALSE,"장축";#N/A,#N/A,FALSE,"4WD"}</definedName>
    <definedName name="_17_0PRINT_AREA">#REF!</definedName>
    <definedName name="_17¿¹_êÃÑ°ý½ÃÆ_¼³ONLY">#REF!</definedName>
    <definedName name="_171W2_" hidden="1">{#N/A,#N/A,FALSE,"품의서";#N/A,#N/A,FALSE,"전제";#N/A,#N/A,FALSE,"총손";#N/A,#N/A,FALSE,"손익"}</definedName>
    <definedName name="_173x1_">#REF!</definedName>
    <definedName name="_174x2_">#REF!</definedName>
    <definedName name="_176____S" hidden="1">#REF!</definedName>
    <definedName name="_180__0_S" hidden="1">#REF!</definedName>
    <definedName name="_183전력단">#REF!</definedName>
    <definedName name="_19_0원">#REF!</definedName>
    <definedName name="_19A3_" hidden="1">{#N/A,#N/A,FALSE,"단축1";#N/A,#N/A,FALSE,"단축2";#N/A,#N/A,FALSE,"단축3";#N/A,#N/A,FALSE,"장축";#N/A,#N/A,FALSE,"4WD"}</definedName>
    <definedName name="_1PP">#N/A</definedName>
    <definedName name="_1교대">#REF!</definedName>
    <definedName name="_2">#REF!</definedName>
    <definedName name="_20¿¹_êÃÑ°ý½ÃÆ_¼³ONLY">#REF!</definedName>
    <definedName name="_20±âÁ¸Â÷¹_Á_Á¡">#REF!</definedName>
    <definedName name="_20GH3_" hidden="1">{#N/A,#N/A,FALSE,"단축1";#N/A,#N/A,FALSE,"단축2";#N/A,#N/A,FALSE,"단축3";#N/A,#N/A,FALSE,"장축";#N/A,#N/A,FALSE,"4WD"}</definedName>
    <definedName name="_21±aA¸A÷¹RA_A¡">#REF!</definedName>
    <definedName name="_21T2_" hidden="1">{#N/A,#N/A,FALSE,"단축1";#N/A,#N/A,FALSE,"단축2";#N/A,#N/A,FALSE,"단축3";#N/A,#N/A,FALSE,"장축";#N/A,#N/A,FALSE,"4WD"}</definedName>
    <definedName name="_22__0_S" hidden="1">#REF!</definedName>
    <definedName name="_22öIAO¡Æi">#REF!</definedName>
    <definedName name="_23±âÁ¸Â÷¹_Á_Á¡">#REF!</definedName>
    <definedName name="_24±aA¸A÷¹RA_A¡">#REF!</definedName>
    <definedName name="_25öIAO¡Æi">#REF!</definedName>
    <definedName name="_2PP">#N/A</definedName>
    <definedName name="_2교대">#REF!</definedName>
    <definedName name="_3_0">#REF!</definedName>
    <definedName name="_30_?쨲?f">#REF!</definedName>
    <definedName name="_40¿¹_êÃÑ°ý½ÃÆ_¼³ONLY">#REF!</definedName>
    <definedName name="_43전력단">#REF!</definedName>
    <definedName name="_44Å_____R3_t">#REF!</definedName>
    <definedName name="_45A10_">#REF!</definedName>
    <definedName name="_46±âÁ¸Â÷¹_Á_Á¡">#REF!</definedName>
    <definedName name="_48±aA¸A÷¹RA_A¡">#REF!</definedName>
    <definedName name="_5_0">#REF!</definedName>
    <definedName name="_5_0원">#REF!</definedName>
    <definedName name="_50öIAO¡Æi">#REF!</definedName>
    <definedName name="_53전력단">#REF!</definedName>
    <definedName name="_54Å_____R3_t">#REF!</definedName>
    <definedName name="_55A3_" hidden="1">{#N/A,#N/A,FALSE,"단축1";#N/A,#N/A,FALSE,"단축2";#N/A,#N/A,FALSE,"단축3";#N/A,#N/A,FALSE,"장축";#N/A,#N/A,FALSE,"4WD"}</definedName>
    <definedName name="_57ÁÖ¿ä¹_Á_Á¡">#REF!</definedName>
    <definedName name="_58A3_" hidden="1">{#N/A,#N/A,FALSE,"단축1";#N/A,#N/A,FALSE,"단축2";#N/A,#N/A,FALSE,"단축3";#N/A,#N/A,FALSE,"장축";#N/A,#N/A,FALSE,"4WD"}</definedName>
    <definedName name="_58AO¿a¹RA_A¡">#REF!</definedName>
    <definedName name="_59B2_">#REF!</definedName>
    <definedName name="_6_0Print_A">#REF!</definedName>
    <definedName name="_60AA1_">#REF!</definedName>
    <definedName name="_60FF3_">#REF!</definedName>
    <definedName name="_61ÁÖ¿ä¹_Á_Á¡">#REF!</definedName>
    <definedName name="_61GG1_">#REF!</definedName>
    <definedName name="_62AO¿a¹RA_A¡">#REF!</definedName>
    <definedName name="_63AS6_" hidden="1">{#N/A,#N/A,FALSE,"Australien";#N/A,#N/A,FALSE,"Birmingham";#N/A,#N/A,FALSE,"Brasilien";#N/A,#N/A,FALSE,"Prag";#N/A,#N/A,FALSE,"Spanien";#N/A,#N/A,FALSE,"Malaysia ( Com)";#N/A,#N/A,FALSE,"Malaysia (Instr)"}</definedName>
    <definedName name="_64B1_">#REF!</definedName>
    <definedName name="_65499_3A000_PIC">"Group 19"</definedName>
    <definedName name="_65B2_">#REF!</definedName>
    <definedName name="_66BB1_">#REF!</definedName>
    <definedName name="_68DD1_">#REF!</definedName>
    <definedName name="_7_0PRINT_AREA">#REF!</definedName>
    <definedName name="_7_0원">#REF!</definedName>
    <definedName name="_70K7_" hidden="1">{#N/A,#N/A,TRUE,"Y생산";#N/A,#N/A,TRUE,"Y판매";#N/A,#N/A,TRUE,"Y총물량";#N/A,#N/A,TRUE,"Y능력";#N/A,#N/A,TRUE,"YKD"}</definedName>
    <definedName name="_71EE1_">#REF!</definedName>
    <definedName name="_73FF3_">#REF!</definedName>
    <definedName name="_74GG1_">#REF!</definedName>
    <definedName name="_76K7_" hidden="1">{#N/A,#N/A,TRUE,"Y생산";#N/A,#N/A,TRUE,"Y판매";#N/A,#N/A,TRUE,"Y총물량";#N/A,#N/A,TRUE,"Y능력";#N/A,#N/A,TRUE,"YKD"}</definedName>
    <definedName name="_77k8_" hidden="1">{#N/A,#N/A,FALSE,"단축1";#N/A,#N/A,FALSE,"단축2";#N/A,#N/A,FALSE,"단축3";#N/A,#N/A,FALSE,"장축";#N/A,#N/A,FALSE,"4WD"}</definedName>
    <definedName name="_78k8_" hidden="1">{#N/A,#N/A,FALSE,"단축1";#N/A,#N/A,FALSE,"단축2";#N/A,#N/A,FALSE,"단축3";#N/A,#N/A,FALSE,"장축";#N/A,#N/A,FALSE,"4WD"}</definedName>
    <definedName name="_78k9_" hidden="1">{#N/A,#N/A,FALSE,"단축1";#N/A,#N/A,FALSE,"단축2";#N/A,#N/A,FALSE,"단축3";#N/A,#N/A,FALSE,"장축";#N/A,#N/A,FALSE,"4WD"}</definedName>
    <definedName name="_79P2_" hidden="1">{#N/A,#N/A,FALSE,"단축1";#N/A,#N/A,FALSE,"단축2";#N/A,#N/A,FALSE,"단축3";#N/A,#N/A,FALSE,"장축";#N/A,#N/A,FALSE,"4WD"}</definedName>
    <definedName name="_8_0Print_A">#REF!</definedName>
    <definedName name="_81T2_" hidden="1">{#N/A,#N/A,FALSE,"단축1";#N/A,#N/A,FALSE,"단축2";#N/A,#N/A,FALSE,"단축3";#N/A,#N/A,FALSE,"장축";#N/A,#N/A,FALSE,"4WD"}</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T3_" hidden="1">{#N/A,#N/A,FALSE,"단축1";#N/A,#N/A,FALSE,"단축2";#N/A,#N/A,FALSE,"단축3";#N/A,#N/A,FALSE,"장축";#N/A,#N/A,FALSE,"4WD"}</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3T5_" hidden="1">{#N/A,#N/A,FALSE,"단축1";#N/A,#N/A,FALSE,"단축2";#N/A,#N/A,FALSE,"단축3";#N/A,#N/A,FALSE,"장축";#N/A,#N/A,FALSE,"4WD"}</definedName>
    <definedName name="_85W2_" hidden="1">{#N/A,#N/A,FALSE,"품의서";#N/A,#N/A,FALSE,"전제";#N/A,#N/A,FALSE,"총손";#N/A,#N/A,FALSE,"손익"}</definedName>
    <definedName name="_86k9_" hidden="1">{#N/A,#N/A,FALSE,"단축1";#N/A,#N/A,FALSE,"단축2";#N/A,#N/A,FALSE,"단축3";#N/A,#N/A,FALSE,"장축";#N/A,#N/A,FALSE,"4WD"}</definedName>
    <definedName name="_87x1_">#REF!</definedName>
    <definedName name="_88x2_">#REF!</definedName>
    <definedName name="_89____S" hidden="1">#REF!</definedName>
    <definedName name="_9_0PRINT_AREA">#REF!</definedName>
    <definedName name="_90__0_S" hidden="1">#REF!</definedName>
    <definedName name="_94P2_" hidden="1">{#N/A,#N/A,FALSE,"단축1";#N/A,#N/A,FALSE,"단축2";#N/A,#N/A,FALSE,"단축3";#N/A,#N/A,FALSE,"장축";#N/A,#N/A,FALSE,"4WD"}</definedName>
    <definedName name="_98810_34010">#REF!</definedName>
    <definedName name="_98820_34010">#REF!</definedName>
    <definedName name="_A1">#REF!</definedName>
    <definedName name="_A300000">#REF!</definedName>
    <definedName name="_Ａ４1">#N/A</definedName>
    <definedName name="_aO">_a1O,_a2O,_a3O</definedName>
    <definedName name="_ASD2">#REF!</definedName>
    <definedName name="_aZ">_a1Z,_a2Z,_a3Z</definedName>
    <definedName name="_B2">#REF!</definedName>
    <definedName name="_FF3">#REF!</definedName>
    <definedName name="_xlnm._FilterDatabase" localSheetId="2" hidden="1">'다인'!I6:Z612</definedName>
    <definedName name="_xlnm._FilterDatabase" localSheetId="0" hidden="1">대우공업!$I$6:$Z$605</definedName>
    <definedName name="_xlnm._FilterDatabase" localSheetId="4" hidden="1">인알파코리아!$J$6:$AA$621</definedName>
    <definedName name="_xlnm._FilterDatabase" localSheetId="1" hidden="1">풍기산업!$I$6:$Z$637</definedName>
    <definedName name="_xlnm._FilterDatabase" localSheetId="3" hidden="1">호원오토!$J$6:$AA$566</definedName>
    <definedName name="_xlnm._FilterDatabase" hidden="1">#REF!</definedName>
    <definedName name="_H1">#REF!</definedName>
    <definedName name="_Key2" hidden="1">#REF!</definedName>
    <definedName name="_KI9" hidden="1">{#N/A,#N/A,TRUE,"Y생산";#N/A,#N/A,TRUE,"Y판매";#N/A,#N/A,TRUE,"Y총물량";#N/A,#N/A,TRUE,"Y능력";#N/A,#N/A,TRUE,"YKD"}</definedName>
    <definedName name="_LIN_">#N/A</definedName>
    <definedName name="_LINE_">#N/A</definedName>
    <definedName name="_MatInverse_In" hidden="1">#REF!</definedName>
    <definedName name="_MatInverse_Out" hidden="1">#REF!</definedName>
    <definedName name="_MIP10" hidden="1">{#N/A,#N/A,FALSE,"단축1";#N/A,#N/A,FALSE,"단축2";#N/A,#N/A,FALSE,"단축3";#N/A,#N/A,FALSE,"장축";#N/A,#N/A,FALSE,"4WD"}</definedName>
    <definedName name="_MIP2" hidden="1">{#N/A,#N/A,FALSE,"단축1";#N/A,#N/A,FALSE,"단축2";#N/A,#N/A,FALSE,"단축3";#N/A,#N/A,FALSE,"장축";#N/A,#N/A,FALSE,"4WD"}</definedName>
    <definedName name="_NN2">#REF!</definedName>
    <definedName name="_Order1" hidden="1">255</definedName>
    <definedName name="_Order2" hidden="1">0</definedName>
    <definedName name="_PLT1">#REF!</definedName>
    <definedName name="_PLT2">#REF!</definedName>
    <definedName name="_PRG15">#REF!</definedName>
    <definedName name="_QQ123">#REF!</definedName>
    <definedName name="_RLA2" hidden="1">{#N/A,#N/A,FALSE,"96 3월물량표";#N/A,#N/A,FALSE,"96 4월물량표";#N/A,#N/A,FALSE,"96 5월물량표"}</definedName>
    <definedName name="_RLA5" hidden="1">{#N/A,#N/A,TRUE,"Y생산";#N/A,#N/A,TRUE,"Y판매";#N/A,#N/A,TRUE,"Y총물량";#N/A,#N/A,TRUE,"Y능력";#N/A,#N/A,TRUE,"YKD"}</definedName>
    <definedName name="_RLA6" hidden="1">{#N/A,#N/A,TRUE,"Y생산";#N/A,#N/A,TRUE,"Y판매";#N/A,#N/A,TRUE,"Y총물량";#N/A,#N/A,TRUE,"Y능력";#N/A,#N/A,TRUE,"YKD"}</definedName>
    <definedName name="_SD1">#REF!</definedName>
    <definedName name="_SD2">#REF!</definedName>
    <definedName name="_Sort" hidden="1">#REF!</definedName>
    <definedName name="_sort2" hidden="1">#REF!</definedName>
    <definedName name="_SUF">#N/A</definedName>
    <definedName name="_SUM1" hidden="1">{#N/A,#N/A,FALSE,"단축1";#N/A,#N/A,FALSE,"단축2";#N/A,#N/A,FALSE,"단축3";#N/A,#N/A,FALSE,"장축";#N/A,#N/A,FALSE,"4WD"}</definedName>
    <definedName name="_T67000">#REF!</definedName>
    <definedName name="_T70000">#REF!</definedName>
    <definedName name="_UPG1">#REF!</definedName>
    <definedName name="_UPG2">#REF!</definedName>
    <definedName name="_UPG3">#REF!</definedName>
    <definedName name="_UPG4">#REF!</definedName>
    <definedName name="_VAR1">#REF!</definedName>
    <definedName name="_VEN425">#N/A</definedName>
    <definedName name="_VY1">#REF!</definedName>
    <definedName name="_WRN2" hidden="1">{#N/A,#N/A,FALSE,"단축1";#N/A,#N/A,FALSE,"단축2";#N/A,#N/A,FALSE,"단축3";#N/A,#N/A,FALSE,"장축";#N/A,#N/A,FALSE,"4WD"}</definedName>
    <definedName name="_x1">#REF!</definedName>
    <definedName name="_x2">#REF!</definedName>
    <definedName name="_XG2" hidden="1">{#N/A,#N/A,FALSE,"단축1";#N/A,#N/A,FALSE,"단축2";#N/A,#N/A,FALSE,"단축3";#N/A,#N/A,FALSE,"장축";#N/A,#N/A,FALSE,"4WD"}</definedName>
    <definedName name="_Y3">#REF!</definedName>
    <definedName name="_加__工">#N/A</definedName>
    <definedName name="_납입_">#N/A</definedName>
    <definedName name="_단계_">#N/A</definedName>
    <definedName name="_段階_">#N/A</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후공젖_">#N/A</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c¾÷¹≪">#REF!</definedName>
    <definedName name="¿¹≫eAN°y½AÆR¼³ONLY">#REF!</definedName>
    <definedName name="¿AAI¿ø">#REF!</definedName>
    <definedName name="￠?AAI￠?ⓒª">#REF!</definedName>
    <definedName name="￠RE?AAI￠RE?¡§I¡§¡I">#REF!</definedName>
    <definedName name="￡A￡´">#REF!</definedName>
    <definedName name="¤A¤A">#REF!</definedName>
    <definedName name="¤μ¤μ">#REF!</definedName>
    <definedName name="\\" hidden="1">{#N/A,#N/A,FALSE,"단축1";#N/A,#N/A,FALSE,"단축2";#N/A,#N/A,FALSE,"단축3";#N/A,#N/A,FALSE,"장축";#N/A,#N/A,FALSE,"4WD"}</definedName>
    <definedName name="\a">#N/A</definedName>
    <definedName name="\b">#N/A</definedName>
    <definedName name="\c">#N/A</definedName>
    <definedName name="\d">#N/A</definedName>
    <definedName name="\QQ">#REF!</definedName>
    <definedName name="±a¾E¿eAo">#REF!</definedName>
    <definedName name="±a¾E°ⓒ">#REF!</definedName>
    <definedName name="±a¾E3">#REF!</definedName>
    <definedName name="±a¾EA≫">#REF!</definedName>
    <definedName name="≫c¾÷AoAU">#REF!</definedName>
    <definedName name="√">"SQRT"</definedName>
    <definedName name="▣_04.3_4월_카니발_오더_현황_검토">#REF!</definedName>
    <definedName name="○">#REF!</definedName>
    <definedName name="°a°u">#REF!</definedName>
    <definedName name="·">#REF!</definedName>
    <definedName name="¹æA≫A">#REF!</definedName>
    <definedName name="¹æA≫B">#REF!</definedName>
    <definedName name="¹IAO°i">#REF!</definedName>
    <definedName name="¹ß">#REF!</definedName>
    <definedName name="¹Uº¸">#REF!</definedName>
    <definedName name="³²±O¼R">#REF!</definedName>
    <definedName name="ⅡⅢⅣⅤⅥ_">#REF!</definedName>
    <definedName name="A">#REF!</definedName>
    <definedName name="A?___R3_t">#REF!</definedName>
    <definedName name="A1_00근거" hidden="1">{#N/A,#N/A,FALSE,"단축1";#N/A,#N/A,FALSE,"단축2";#N/A,#N/A,FALSE,"단축3";#N/A,#N/A,FALSE,"장축";#N/A,#N/A,FALSE,"4WD"}</definedName>
    <definedName name="AA">#REF!</definedName>
    <definedName name="aaaa" hidden="1">{#N/A,#N/A,TRUE,"Y생산";#N/A,#N/A,TRUE,"Y판매";#N/A,#N/A,TRUE,"Y총물량";#N/A,#N/A,TRUE,"Y능력";#N/A,#N/A,TRUE,"YKD"}</definedName>
    <definedName name="AAAAA" hidden="1">{#N/A,#N/A,FALSE,"단축1";#N/A,#N/A,FALSE,"단축2";#N/A,#N/A,FALSE,"단축3";#N/A,#N/A,FALSE,"장축";#N/A,#N/A,FALSE,"4WD"}</definedName>
    <definedName name="Aaaaaa">#REF!</definedName>
    <definedName name="AAAAAAA" hidden="1">{#N/A,#N/A,TRUE,"Y생산";#N/A,#N/A,TRUE,"Y판매";#N/A,#N/A,TRUE,"Y총물량";#N/A,#N/A,TRUE,"Y능력";#N/A,#N/A,TRUE,"YKD"}</definedName>
    <definedName name="AAABBB">#REF!</definedName>
    <definedName name="AAC">#REF!</definedName>
    <definedName name="AACC">#REF!</definedName>
    <definedName name="AAL">#REF!</definedName>
    <definedName name="AAP">#REF!</definedName>
    <definedName name="AAQ">#REF!</definedName>
    <definedName name="AB">#REF!</definedName>
    <definedName name="ABC">#REF!</definedName>
    <definedName name="abcd">#REF!</definedName>
    <definedName name="ABD">#REF!</definedName>
    <definedName name="ABL">#REF!</definedName>
    <definedName name="ABP">#REF!</definedName>
    <definedName name="ACB" hidden="1">{#N/A,#N/A,FALSE,"단축1";#N/A,#N/A,FALSE,"단축2";#N/A,#N/A,FALSE,"단축3";#N/A,#N/A,FALSE,"장축";#N/A,#N/A,FALSE,"4WD"}</definedName>
    <definedName name="Access_Button" hidden="1">"F분석표_1_100_List"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#REF!</definedName>
    <definedName name="ACL">#REF!</definedName>
    <definedName name="ACP">#REF!</definedName>
    <definedName name="adfds" hidden="1">{#N/A,#N/A,FALSE,"단축1";#N/A,#N/A,FALSE,"단축2";#N/A,#N/A,FALSE,"단축3";#N/A,#N/A,FALSE,"장축";#N/A,#N/A,FALSE,"4WD"}</definedName>
    <definedName name="ADL">#REF!</definedName>
    <definedName name="ADP">#REF!</definedName>
    <definedName name="ADSDF" hidden="1">{#N/A,#N/A,TRUE,"Y생산";#N/A,#N/A,TRUE,"Y판매";#N/A,#N/A,TRUE,"Y총물량";#N/A,#N/A,TRUE,"Y능력";#N/A,#N/A,TRUE,"YKD"}</definedName>
    <definedName name="AIRCON" hidden="1">{#N/A,#N/A,FALSE,"단축1";#N/A,#N/A,FALSE,"단축2";#N/A,#N/A,FALSE,"단축3";#N/A,#N/A,FALSE,"장축";#N/A,#N/A,FALSE,"4WD"}</definedName>
    <definedName name="akrka123" hidden="1">{#N/A,#N/A,TRUE,"Y생산";#N/A,#N/A,TRUE,"Y판매";#N/A,#N/A,TRUE,"Y총물량";#N/A,#N/A,TRUE,"Y능력";#N/A,#N/A,TRUE,"YKD"}</definedName>
    <definedName name="AL" hidden="1">{#N/A,#N/A,FALSE,"단축1";#N/A,#N/A,FALSE,"단축2";#N/A,#N/A,FALSE,"단축3";#N/A,#N/A,FALSE,"장축";#N/A,#N/A,FALSE,"4WD"}</definedName>
    <definedName name="all">#REF!</definedName>
    <definedName name="ALTSS">#REF!</definedName>
    <definedName name="anscount">4</definedName>
    <definedName name="Ao¿￢">#REF!</definedName>
    <definedName name="AQP" hidden="1">{#N/A,#N/A,FALSE,"96 3월물량표";#N/A,#N/A,FALSE,"96 4월물량표";#N/A,#N/A,FALSE,"96 5월물량표"}</definedName>
    <definedName name="ASADS" hidden="1">{#N/A,#N/A,FALSE,"단축1";#N/A,#N/A,FALSE,"단축2";#N/A,#N/A,FALSE,"단축3";#N/A,#N/A,FALSE,"장축";#N/A,#N/A,FALSE,"4WD"}</definedName>
    <definedName name="ASAS" hidden="1">{#N/A,#N/A,FALSE,"단축1";#N/A,#N/A,FALSE,"단축2";#N/A,#N/A,FALSE,"단축3";#N/A,#N/A,FALSE,"장축";#N/A,#N/A,FALSE,"4WD"}</definedName>
    <definedName name="asasasws" hidden="1">{#N/A,#N/A,FALSE,"단축1";#N/A,#N/A,FALSE,"단축2";#N/A,#N/A,FALSE,"단축3";#N/A,#N/A,FALSE,"장축";#N/A,#N/A,FALSE,"4WD"}</definedName>
    <definedName name="ASDAS">#REF!</definedName>
    <definedName name="ASDF" hidden="1">#REF!</definedName>
    <definedName name="ASDFFD">#REF!</definedName>
    <definedName name="asdfg" hidden="1">{#N/A,#N/A,FALSE,"단축1";#N/A,#N/A,FALSE,"단축2";#N/A,#N/A,FALSE,"단축3";#N/A,#N/A,FALSE,"장축";#N/A,#N/A,FALSE,"4WD"}</definedName>
    <definedName name="ASFLSKF">#REF!</definedName>
    <definedName name="ASSA"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#REF!</definedName>
    <definedName name="ASTA">#REF!</definedName>
    <definedName name="ASTL">#REF!</definedName>
    <definedName name="ASTR">#REF!</definedName>
    <definedName name="ASTX">#REF!</definedName>
    <definedName name="aut">#REF!</definedName>
    <definedName name="AW">#REF!</definedName>
    <definedName name="awc">#REF!</definedName>
    <definedName name="AX" hidden="1">{#N/A,#N/A,FALSE,"단축1";#N/A,#N/A,FALSE,"단축2";#N/A,#N/A,FALSE,"단축3";#N/A,#N/A,FALSE,"장축";#N/A,#N/A,FALSE,"4WD"}</definedName>
    <definedName name="AZ">#REF!</definedName>
    <definedName name="A급문제">#REF!</definedName>
    <definedName name="A급현황">#REF!</definedName>
    <definedName name="B" hidden="1">{#N/A,#N/A,TRUE,"Y생산";#N/A,#N/A,TRUE,"Y판매";#N/A,#N/A,TRUE,"Y총물량";#N/A,#N/A,TRUE,"Y능력";#N/A,#N/A,TRUE,"YKD"}</definedName>
    <definedName name="b23RTDKDK">#REF!</definedName>
    <definedName name="BA">#REF!</definedName>
    <definedName name="baijongsuk">#REF!</definedName>
    <definedName name="BAL">#REF!</definedName>
    <definedName name="BAP">#REF!</definedName>
    <definedName name="BB">#REF!</definedName>
    <definedName name="BBB">#REF!</definedName>
    <definedName name="bbbbb">#REF!</definedName>
    <definedName name="BBL">#REF!</definedName>
    <definedName name="BBP">#REF!</definedName>
    <definedName name="bc">#REF!</definedName>
    <definedName name="BCL">#REF!</definedName>
    <definedName name="BCP">#REF!</definedName>
    <definedName name="BD">#REF!</definedName>
    <definedName name="BDL">#REF!</definedName>
    <definedName name="BDP">#REF!</definedName>
    <definedName name="BE">0.45</definedName>
    <definedName name="beg">#REF!</definedName>
    <definedName name="begin">#REF!</definedName>
    <definedName name="BGJK" hidden="1">{#N/A,#N/A,FALSE,"단축1";#N/A,#N/A,FALSE,"단축2";#N/A,#N/A,FALSE,"단축3";#N/A,#N/A,FALSE,"장축";#N/A,#N/A,FALSE,"4WD"}</definedName>
    <definedName name="BHU">#REF!</definedName>
    <definedName name="BIW표지">#REF!</definedName>
    <definedName name="BL" hidden="1">{#N/A,#N/A,FALSE,"단축1";#N/A,#N/A,FALSE,"단축2";#N/A,#N/A,FALSE,"단축3";#N/A,#N/A,FALSE,"장축";#N/A,#N/A,FALSE,"4WD"}</definedName>
    <definedName name="BLANKGB">#N/A</definedName>
    <definedName name="BLBL" hidden="1">{#N/A,#N/A,FALSE,"단축1";#N/A,#N/A,FALSE,"단축2";#N/A,#N/A,FALSE,"단축3";#N/A,#N/A,FALSE,"장축";#N/A,#N/A,FALSE,"4WD"}</definedName>
    <definedName name="BL가중치">#REF!</definedName>
    <definedName name="BL현황">#REF!</definedName>
    <definedName name="bm" hidden="1">{#N/A,#N/A,FALSE,"단축1";#N/A,#N/A,FALSE,"단축2";#N/A,#N/A,FALSE,"단축3";#N/A,#N/A,FALSE,"장축";#N/A,#N/A,FALSE,"4WD"}</definedName>
    <definedName name="BNB">#REF!</definedName>
    <definedName name="BNG" hidden="1">{#N/A,#N/A,TRUE,"Y생산";#N/A,#N/A,TRUE,"Y판매";#N/A,#N/A,TRUE,"Y총물량";#N/A,#N/A,TRUE,"Y능력";#N/A,#N/A,TRUE,"YKD"}</definedName>
    <definedName name="book1" hidden="1">{#N/A,#N/A,TRUE,"Y생산";#N/A,#N/A,TRUE,"Y판매";#N/A,#N/A,TRUE,"Y총물량";#N/A,#N/A,TRUE,"Y능력";#N/A,#N/A,TRUE,"YKD"}</definedName>
    <definedName name="BRKT_ASST">#REF!</definedName>
    <definedName name="BRKT_ASSY">#REF!</definedName>
    <definedName name="bRTDKDK">#REF!</definedName>
    <definedName name="BSTA">#REF!</definedName>
    <definedName name="BSTL">#REF!</definedName>
    <definedName name="BSTR">#REF!</definedName>
    <definedName name="BSTX">#REF!</definedName>
    <definedName name="btw_01">#REF!,#REF!,#REF!,#REF!,#REF!,#REF!,#REF!,#REF!,#REF!</definedName>
    <definedName name="btw_03">#REF!,#REF!,#REF!,#REF!,#REF!</definedName>
    <definedName name="BYDNO">#N/A</definedName>
    <definedName name="c1.">#REF!</definedName>
    <definedName name="CA">#REF!</definedName>
    <definedName name="CAE해석" hidden="1">{#N/A,#N/A,FALSE,"단축1";#N/A,#N/A,FALSE,"단축2";#N/A,#N/A,FALSE,"단축3";#N/A,#N/A,FALSE,"장축";#N/A,#N/A,FALSE,"4WD"}</definedName>
    <definedName name="CAL">#REF!</definedName>
    <definedName name="CAP">#REF!</definedName>
    <definedName name="CARCODE">#REF!</definedName>
    <definedName name="CB">#REF!</definedName>
    <definedName name="CBL">#REF!</definedName>
    <definedName name="CBP">#REF!</definedName>
    <definedName name="CC">#REF!</definedName>
    <definedName name="CC.QQ">#REF!</definedName>
    <definedName name="CCC">#REF!</definedName>
    <definedName name="CCL">#REF!</definedName>
    <definedName name="CCP">#REF!</definedName>
    <definedName name="CD">#REF!</definedName>
    <definedName name="CD123_">#N/A</definedName>
    <definedName name="CD130_">#N/A</definedName>
    <definedName name="CD620_">#N/A</definedName>
    <definedName name="CD830_">#N/A</definedName>
    <definedName name="CDE">#REF!</definedName>
    <definedName name="CDL">#REF!</definedName>
    <definedName name="CDP">#REF!</definedName>
    <definedName name="CF" hidden="1">{#N/A,#N/A,FALSE,"단축1";#N/A,#N/A,FALSE,"단축2";#N/A,#N/A,FALSE,"단축3";#N/A,#N/A,FALSE,"장축";#N/A,#N/A,FALSE,"4WD"}</definedName>
    <definedName name="CHA">#REF!</definedName>
    <definedName name="CHATR">#REF!</definedName>
    <definedName name="CHDDOR">#REF!</definedName>
    <definedName name="CHOI">#REF!</definedName>
    <definedName name="CHULDO">#N/A</definedName>
    <definedName name="CHULDOIL">#N/A</definedName>
    <definedName name="ci" hidden="1">{#N/A,#N/A,FALSE,"단축1";#N/A,#N/A,FALSE,"단축2";#N/A,#N/A,FALSE,"단축3";#N/A,#N/A,FALSE,"장축";#N/A,#N/A,FALSE,"4WD"}</definedName>
    <definedName name="ckc">#REF!</definedName>
    <definedName name="Claim이력_MCR19_23차">#REF!</definedName>
    <definedName name="Claim이력_내수내자">#REF!</definedName>
    <definedName name="Claim이력_수출내자">#REF!</definedName>
    <definedName name="CLDLRTDK">#REF!</definedName>
    <definedName name="CNV">#REF!</definedName>
    <definedName name="CO">#REF!</definedName>
    <definedName name="ⓒoⓒ¡A¡iA">#REF!</definedName>
    <definedName name="ⓒoⓒ¡A¡iB">#REF!</definedName>
    <definedName name="ⓒøⓒ÷¡¾O¨uR">#REF!</definedName>
    <definedName name="ⓒoIAO¡Æi">#REF!</definedName>
    <definedName name="con">#REF!</definedName>
    <definedName name="CONCEPT" hidden="1">{#N/A,#N/A,FALSE,"단축1";#N/A,#N/A,FALSE,"단축2";#N/A,#N/A,FALSE,"단축3";#N/A,#N/A,FALSE,"장축";#N/A,#N/A,FALSE,"4WD"}</definedName>
    <definedName name="CONTWIRG1">#REF!</definedName>
    <definedName name="COPY" hidden="1">{#N/A,#N/A,FALSE,"단축1";#N/A,#N/A,FALSE,"단축2";#N/A,#N/A,FALSE,"단축3";#N/A,#N/A,FALSE,"장축";#N/A,#N/A,FALSE,"4WD"}</definedName>
    <definedName name="COPY1" hidden="1">{#N/A,#N/A,FALSE,"단축1";#N/A,#N/A,FALSE,"단축2";#N/A,#N/A,FALSE,"단축3";#N/A,#N/A,FALSE,"장축";#N/A,#N/A,FALSE,"4WD"}</definedName>
    <definedName name="COST615">#N/A</definedName>
    <definedName name="CPT전용">#REF!</definedName>
    <definedName name="create_xla">0</definedName>
    <definedName name="Criteria_MI">#REF!</definedName>
    <definedName name="CRTC">#REF!</definedName>
    <definedName name="CSTA">#REF!</definedName>
    <definedName name="CSTL">#REF!</definedName>
    <definedName name="CSTR">#REF!</definedName>
    <definedName name="CSTX">#REF!</definedName>
    <definedName name="cvv">#REF!</definedName>
    <definedName name="CYCLE">#REF!</definedName>
    <definedName name="D" hidden="1">{#N/A,#N/A,TRUE,"Y생산";#N/A,#N/A,TRUE,"Y판매";#N/A,#N/A,TRUE,"Y총물량";#N/A,#N/A,TRUE,"Y능력";#N/A,#N/A,TRUE,"YKD"}</definedName>
    <definedName name="DARQRT">#REF!</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_MI">#REF!</definedName>
    <definedName name="database2">#REF!</definedName>
    <definedName name="dbsal">#REF!</definedName>
    <definedName name="DC">#N/A</definedName>
    <definedName name="dcost">#REF!</definedName>
    <definedName name="DD">#REF!</definedName>
    <definedName name="DDD">#REF!</definedName>
    <definedName name="DDDDD">#REF!</definedName>
    <definedName name="DDDDDD" hidden="1">{#N/A,#N/A,FALSE,"단축1";#N/A,#N/A,FALSE,"단축2";#N/A,#N/A,FALSE,"단축3";#N/A,#N/A,FALSE,"장축";#N/A,#N/A,FALSE,"4WD"}</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E">#REF!</definedName>
    <definedName name="DEC.GH">#REF!</definedName>
    <definedName name="dek">#REF!</definedName>
    <definedName name="DEL">#REF!</definedName>
    <definedName name="DELL">#REF!</definedName>
    <definedName name="DFA" hidden="1">{#N/A,#N/A,FALSE,"단축1";#N/A,#N/A,FALSE,"단축2";#N/A,#N/A,FALSE,"단축3";#N/A,#N/A,FALSE,"장축";#N/A,#N/A,FALSE,"4WD"}</definedName>
    <definedName name="DFG">#REF!</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H">#REF!</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#REF!</definedName>
    <definedName name="dkdk" hidden="1">{#N/A,#N/A,FALSE,"단축1";#N/A,#N/A,FALSE,"단축2";#N/A,#N/A,FALSE,"단축3";#N/A,#N/A,FALSE,"장축";#N/A,#N/A,FALSE,"4WD"}</definedName>
    <definedName name="DKDKDKFGTBTB2RT">#REF!</definedName>
    <definedName name="DKDKfg18TBTB2RT">#REF!</definedName>
    <definedName name="DKDKFG8TBTB2RT">#REF!</definedName>
    <definedName name="DKSLDH" hidden="1">{#N/A,#N/A,FALSE,"단축1";#N/A,#N/A,FALSE,"단축2";#N/A,#N/A,FALSE,"단축3";#N/A,#N/A,FALSE,"장축";#N/A,#N/A,FALSE,"4WD"}</definedName>
    <definedName name="DL">#REF!</definedName>
    <definedName name="DLEHD">#REF!</definedName>
    <definedName name="DLS" hidden="1">{#N/A,#N/A,TRUE,"Y생산";#N/A,#N/A,TRUE,"Y판매";#N/A,#N/A,TRUE,"Y총물량";#N/A,#N/A,TRUE,"Y능력";#N/A,#N/A,TRUE,"YKD"}</definedName>
    <definedName name="DORE">#REF!</definedName>
    <definedName name="DRAW">#REF!</definedName>
    <definedName name="DRIVE" hidden="1">{#N/A,#N/A,FALSE,"단축1";#N/A,#N/A,FALSE,"단축2";#N/A,#N/A,FALSE,"단축3";#N/A,#N/A,FALSE,"장축";#N/A,#N/A,FALSE,"4WD"}</definedName>
    <definedName name="DRIVEABILITY" hidden="1">{#N/A,#N/A,FALSE,"단축1";#N/A,#N/A,FALSE,"단축2";#N/A,#N/A,FALSE,"단축3";#N/A,#N/A,FALSE,"장축";#N/A,#N/A,FALSE,"4WD"}</definedName>
    <definedName name="DSA">#REF!</definedName>
    <definedName name="DSARFESR" hidden="1">{#N/A,#N/A,FALSE,"단축1";#N/A,#N/A,FALSE,"단축2";#N/A,#N/A,FALSE,"단축3";#N/A,#N/A,FALSE,"장축";#N/A,#N/A,FALSE,"4WD"}</definedName>
    <definedName name="dsdfdfsdaf" hidden="1">{#N/A,#N/A,FALSE,"단축1";#N/A,#N/A,FALSE,"단축2";#N/A,#N/A,FALSE,"단축3";#N/A,#N/A,FALSE,"장축";#N/A,#N/A,FALSE,"4WD"}</definedName>
    <definedName name="dsfg" hidden="1">{#N/A,#N/A,FALSE,"신규dep";#N/A,#N/A,FALSE,"신규dep-금형상각후";#N/A,#N/A,FALSE,"신규dep-연구비상각후";#N/A,#N/A,FALSE,"신규dep-기계,공구상각후"}</definedName>
    <definedName name="DSFHDFL" hidden="1">#REF!</definedName>
    <definedName name="DSL" hidden="1">{#N/A,#N/A,FALSE,"단축1";#N/A,#N/A,FALSE,"단축2";#N/A,#N/A,FALSE,"단축3";#N/A,#N/A,FALSE,"장축";#N/A,#N/A,FALSE,"4WD"}</definedName>
    <definedName name="DSS">#REF!</definedName>
    <definedName name="DUP">#REF!</definedName>
    <definedName name="DVD" hidden="1">{#N/A,#N/A,FALSE,"단축1";#N/A,#N/A,FALSE,"단축2";#N/A,#N/A,FALSE,"단축3";#N/A,#N/A,FALSE,"장축";#N/A,#N/A,FALSE,"4WD"}</definedName>
    <definedName name="E" hidden="1">{#N/A,#N/A,TRUE,"Y생산";#N/A,#N/A,TRUE,"Y판매";#N/A,#N/A,TRUE,"Y총물량";#N/A,#N/A,TRUE,"Y능력";#N/A,#N/A,TRUE,"YKD"}</definedName>
    <definedName name="E2Q" hidden="1">{#N/A,#N/A,FALSE,"단축1";#N/A,#N/A,FALSE,"단축2";#N/A,#N/A,FALSE,"단축3";#N/A,#N/A,FALSE,"장축";#N/A,#N/A,FALSE,"4WD"}</definedName>
    <definedName name="EAWR" hidden="1">{#N/A,#N/A,FALSE,"단축1";#N/A,#N/A,FALSE,"단축2";#N/A,#N/A,FALSE,"단축3";#N/A,#N/A,FALSE,"장축";#N/A,#N/A,FALSE,"4WD"}</definedName>
    <definedName name="ecost">#REF!</definedName>
    <definedName name="ED3__회훈_71.4_신창_4.9">#REF!</definedName>
    <definedName name="EE">#REF!</definedName>
    <definedName name="EEEE">BlankMacro1</definedName>
    <definedName name="EF">#REF!</definedName>
    <definedName name="EFFOG" hidden="1">{#N/A,#N/A,FALSE,"단축1";#N/A,#N/A,FALSE,"단축2";#N/A,#N/A,FALSE,"단축3";#N/A,#N/A,FALSE,"장축";#N/A,#N/A,FALSE,"4WD"}</definedName>
    <definedName name="EF제동"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ND">#REF!</definedName>
    <definedName name="EO">#REF!</definedName>
    <definedName name="EO계획" hidden="1">#REF!</definedName>
    <definedName name="EO관리신">#REF!</definedName>
    <definedName name="ert" hidden="1">{#N/A,#N/A,TRUE,"Y생산";#N/A,#N/A,TRUE,"Y판매";#N/A,#N/A,TRUE,"Y총물량";#N/A,#N/A,TRUE,"Y능력";#N/A,#N/A,TRUE,"YKD"}</definedName>
    <definedName name="ET_율">#REF!</definedName>
    <definedName name="ETRYU" hidden="1">{#N/A,#N/A,FALSE,"단축1";#N/A,#N/A,FALSE,"단축2";#N/A,#N/A,FALSE,"단축3";#N/A,#N/A,FALSE,"장축";#N/A,#N/A,FALSE,"4WD"}</definedName>
    <definedName name="ETYUI" hidden="1">{#N/A,#N/A,FALSE,"단축1";#N/A,#N/A,FALSE,"단축2";#N/A,#N/A,FALSE,"단축3";#N/A,#N/A,FALSE,"장축";#N/A,#N/A,FALSE,"4WD"}</definedName>
    <definedName name="EUP">#REF!</definedName>
    <definedName name="EWY" hidden="1">{#N/A,#N/A,FALSE,"단축1";#N/A,#N/A,FALSE,"단축2";#N/A,#N/A,FALSE,"단축3";#N/A,#N/A,FALSE,"장축";#N/A,#N/A,FALSE,"4WD"}</definedName>
    <definedName name="existe">1</definedName>
    <definedName name="Extract_MI">#REF!</definedName>
    <definedName name="EYRU" hidden="1">{#N/A,#N/A,FALSE,"단축1";#N/A,#N/A,FALSE,"단축2";#N/A,#N/A,FALSE,"단축3";#N/A,#N/A,FALSE,"장축";#N/A,#N/A,FALSE,"4WD"}</definedName>
    <definedName name="F" hidden="1">{#N/A,#N/A,FALSE,"96 3월물량표";#N/A,#N/A,FALSE,"96 4월물량표";#N/A,#N/A,FALSE,"96 5월물량표"}</definedName>
    <definedName name="familly">#REF!</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#REF!</definedName>
    <definedName name="FDJGDFHJ" hidden="1">{#N/A,#N/A,FALSE,"단축1";#N/A,#N/A,FALSE,"단축2";#N/A,#N/A,FALSE,"단축3";#N/A,#N/A,FALSE,"장축";#N/A,#N/A,FALSE,"4WD"}</definedName>
    <definedName name="fdklj">#REF!</definedName>
    <definedName name="FDR">#REF!</definedName>
    <definedName name="feuille_base">"xlsheet.xla"</definedName>
    <definedName name="FF_1">#REF!</definedName>
    <definedName name="FFF">#REF!</definedName>
    <definedName name="FFFFFFFFFF" hidden="1">{#N/A,#N/A,FALSE,"단축1";#N/A,#N/A,FALSE,"단축2";#N/A,#N/A,FALSE,"단축3";#N/A,#N/A,FALSE,"장축";#N/A,#N/A,FALSE,"4WD"}</definedName>
    <definedName name="fffgfg" hidden="1">{#N/A,#N/A,FALSE,"단축1";#N/A,#N/A,FALSE,"단축2";#N/A,#N/A,FALSE,"단축3";#N/A,#N/A,FALSE,"장축";#N/A,#N/A,FALSE,"4WD"}</definedName>
    <definedName name="fg">#REF!</definedName>
    <definedName name="FG10TBTB2RT">#REF!</definedName>
    <definedName name="fg18TBTB4RT">#REF!</definedName>
    <definedName name="FG22TBTB2RTDKDK">#REF!</definedName>
    <definedName name="FG22TBTB4RTDKDK">#REF!</definedName>
    <definedName name="FG24RTDKDK">#REF!</definedName>
    <definedName name="FG46TBTB4RTDKDK">#REF!</definedName>
    <definedName name="FGBS12TBTB0RT">#REF!</definedName>
    <definedName name="FGDKDKDKDKDKDKDKDKDKDKDKDKDKDKD">#REF!</definedName>
    <definedName name="FGG">BlankMacro1</definedName>
    <definedName name="FGH"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TBTB2RTDKDK">#REF!</definedName>
    <definedName name="FGPRTBTB1RTDKDK">#REF!</definedName>
    <definedName name="FGRKBS11TBTB2RT">#REF!</definedName>
    <definedName name="FGRKRKRKRKRKRKRKRKRKRKRKRKTBTB2">#REF!</definedName>
    <definedName name="fgRKRKRKRKRKTBTB2RTDKDK">#REF!</definedName>
    <definedName name="FGRKRKRKTBTB1RTDKDK">#REF!</definedName>
    <definedName name="FGRKRKTBTB3RTDKDK">#REF!</definedName>
    <definedName name="FGT">#REF!</definedName>
    <definedName name="fgTBTB3RTDKDK">#REF!</definedName>
    <definedName name="fgTBTB4RTDKDK">#REF!</definedName>
    <definedName name="FH"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D" hidden="1">{#N/A,#N/A,FALSE,"단축1";#N/A,#N/A,FALSE,"단축2";#N/A,#N/A,FALSE,"단축3";#N/A,#N/A,FALSE,"장축";#N/A,#N/A,FALSE,"4WD"}</definedName>
    <definedName name="fkla" hidden="1">{#N/A,#N/A,TRUE,"Y생산";#N/A,#N/A,TRUE,"Y판매";#N/A,#N/A,TRUE,"Y총물량";#N/A,#N/A,TRUE,"Y능력";#N/A,#N/A,TRUE,"YKD"}</definedName>
    <definedName name="FLEXIBLE.T.L" hidden="1">{#N/A,#N/A,FALSE,"단축1";#N/A,#N/A,FALSE,"단축2";#N/A,#N/A,FALSE,"단축3";#N/A,#N/A,FALSE,"장축";#N/A,#N/A,FALSE,"4WD"}</definedName>
    <definedName name="FMEA"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R">0.45</definedName>
    <definedName name="FO투입시UPH조정" hidden="1">{#N/A,#N/A,FALSE,"단축1";#N/A,#N/A,FALSE,"단축2";#N/A,#N/A,FALSE,"단축3";#N/A,#N/A,FALSE,"장축";#N/A,#N/A,FALSE,"4WD"}</definedName>
    <definedName name="frmotor" hidden="1">{#N/A,#N/A,FALSE,"단축1";#N/A,#N/A,FALSE,"단축2";#N/A,#N/A,FALSE,"단축3";#N/A,#N/A,FALSE,"장축";#N/A,#N/A,FALSE,"4WD"}</definedName>
    <definedName name="FRONT" hidden="1">{#N/A,#N/A,FALSE,"단축1";#N/A,#N/A,FALSE,"단축2";#N/A,#N/A,FALSE,"단축3";#N/A,#N/A,FALSE,"장축";#N/A,#N/A,FALSE,"4WD"}</definedName>
    <definedName name="FRTDRFC3">#REF!</definedName>
    <definedName name="FRTDRFC4">#REF!</definedName>
    <definedName name="FRTFLR">#REF!</definedName>
    <definedName name="FSFD" hidden="1">{#N/A,#N/A,FALSE,"단축1";#N/A,#N/A,FALSE,"단축2";#N/A,#N/A,FALSE,"단축3";#N/A,#N/A,FALSE,"장축";#N/A,#N/A,FALSE,"4WD"}</definedName>
    <definedName name="FUEL" hidden="1">{#N/A,#N/A,FALSE,"단축1";#N/A,#N/A,FALSE,"단축2";#N/A,#N/A,FALSE,"단축3";#N/A,#N/A,FALSE,"장축";#N/A,#N/A,FALSE,"4WD"}</definedName>
    <definedName name="FUP">#REF!</definedName>
    <definedName name="G" hidden="1">{#N/A,#N/A,FALSE,"96 3월물량표";#N/A,#N/A,FALSE,"96 4월물량표";#N/A,#N/A,FALSE,"96 5월물량표"}</definedName>
    <definedName name="GAA">#REF!</definedName>
    <definedName name="GAGONG">#N/A</definedName>
    <definedName name="GAR">#N/A</definedName>
    <definedName name="GBCSNAME">#N/A</definedName>
    <definedName name="gDataRange">#REF!</definedName>
    <definedName name="GEOMSA">#N/A</definedName>
    <definedName name="GEOMTOIL">#N/A</definedName>
    <definedName name="GEOMTS">#N/A</definedName>
    <definedName name="GEUMHU">#N/A</definedName>
    <definedName name="GFJG" hidden="1">{#N/A,#N/A,FALSE,"단축1";#N/A,#N/A,FALSE,"단축2";#N/A,#N/A,FALSE,"단축3";#N/A,#N/A,FALSE,"장축";#N/A,#N/A,FALSE,"4WD"}</definedName>
    <definedName name="gfld" hidden="1">{#N/A,#N/A,TRUE,"Y생산";#N/A,#N/A,TRUE,"Y판매";#N/A,#N/A,TRUE,"Y총물량";#N/A,#N/A,TRUE,"Y능력";#N/A,#N/A,TRUE,"YKD"}</definedName>
    <definedName name="GFRGH" hidden="1">{#N/A,#N/A,TRUE,"Y생산";#N/A,#N/A,TRUE,"Y판매";#N/A,#N/A,TRUE,"Y총물량";#N/A,#N/A,TRUE,"Y능력";#N/A,#N/A,TRUE,"YKD"}</definedName>
    <definedName name="GG">#REF!</definedName>
    <definedName name="GGG" hidden="1">{#N/A,#N/A,FALSE,"품의서";#N/A,#N/A,FALSE,"전제";#N/A,#N/A,FALSE,"총손";#N/A,#N/A,FALSE,"손익";#N/A,#N/A,FALSE,"대당";#N/A,#N/A,FALSE,"가공비";#N/A,#N/A,FALSE,"재료비";#N/A,#N/A,FALSE,"판비";#N/A,#N/A,FALSE,"가격"}</definedName>
    <definedName name="GGGGG" hidden="1">{#N/A,#N/A,FALSE,"단축1";#N/A,#N/A,FALSE,"단축2";#N/A,#N/A,FALSE,"단축3";#N/A,#N/A,FALSE,"장축";#N/A,#N/A,FALSE,"4WD"}</definedName>
    <definedName name="GH">#REF!</definedName>
    <definedName name="ghhhh" hidden="1">{#N/A,#N/A,FALSE,"단축1";#N/A,#N/A,FALSE,"단축2";#N/A,#N/A,FALSE,"단축3";#N/A,#N/A,FALSE,"장축";#N/A,#N/A,FALSE,"4WD"}</definedName>
    <definedName name="GHUTGHF" hidden="1">{#N/A,#N/A,FALSE,"96 3월물량표";#N/A,#N/A,FALSE,"96 4월물량표";#N/A,#N/A,FALSE,"96 5월물량표"}</definedName>
    <definedName name="GISURO">#N/A</definedName>
    <definedName name="GJ" hidden="1">{#N/A,#N/A,FALSE,"단축1";#N/A,#N/A,FALSE,"단축2";#N/A,#N/A,FALSE,"단축3";#N/A,#N/A,FALSE,"장축";#N/A,#N/A,FALSE,"4WD"}</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NR330C3rt">#REF!</definedName>
    <definedName name="GR">#N/A</definedName>
    <definedName name="GRAFH">#REF!</definedName>
    <definedName name="GSEOLB">#N/A</definedName>
    <definedName name="GTY" hidden="1">{#N/A,#N/A,FALSE,"단축1";#N/A,#N/A,FALSE,"단축2";#N/A,#N/A,FALSE,"단축3";#N/A,#N/A,FALSE,"장축";#N/A,#N/A,FALSE,"4WD"}</definedName>
    <definedName name="GYUNJ1">#N/A</definedName>
    <definedName name="GYUNJ2">#N/A</definedName>
    <definedName name="H" hidden="1">{#N/A,#N/A,TRUE,"Y생산";#N/A,#N/A,TRUE,"Y판매";#N/A,#N/A,TRUE,"Y총물량";#N/A,#N/A,TRUE,"Y능력";#N/A,#N/A,TRUE,"YKD"}</definedName>
    <definedName name="H3직행율1" hidden="1">{#N/A,#N/A,TRUE,"Y생산";#N/A,#N/A,TRUE,"Y판매";#N/A,#N/A,TRUE,"Y총물량";#N/A,#N/A,TRUE,"Y능력";#N/A,#N/A,TRUE,"YKD"}</definedName>
    <definedName name="HABEI109">#N/A</definedName>
    <definedName name="HCO">#REF!</definedName>
    <definedName name="HFG" hidden="1">{#N/A,#N/A,TRUE,"Y생산";#N/A,#N/A,TRUE,"Y판매";#N/A,#N/A,TRUE,"Y총물량";#N/A,#N/A,TRUE,"Y능력";#N/A,#N/A,TRUE,"YKD"}</definedName>
    <definedName name="HH">#REF!</definedName>
    <definedName name="HHH" hidden="1">{#N/A,#N/A,FALSE,"품의서";#N/A,#N/A,FALSE,"전제";#N/A,#N/A,FALSE,"총손";#N/A,#N/A,FALSE,"손익";#N/A,#N/A,FALSE,"대당";#N/A,#N/A,FALSE,"가공비";#N/A,#N/A,FALSE,"재료비";#N/A,#N/A,FALSE,"판비";#N/A,#N/A,FALSE,"가격"}</definedName>
    <definedName name="HHHHH" hidden="1">{#N/A,#N/A,FALSE,"단축1";#N/A,#N/A,FALSE,"단축2";#N/A,#N/A,FALSE,"단축3";#N/A,#N/A,FALSE,"장축";#N/A,#N/A,FALSE,"4WD"}</definedName>
    <definedName name="HHHHJJJJ" hidden="1">{#N/A,#N/A,FALSE,"단축1";#N/A,#N/A,FALSE,"단축2";#N/A,#N/A,FALSE,"단축3";#N/A,#N/A,FALSE,"장축";#N/A,#N/A,FALSE,"4WD"}</definedName>
    <definedName name="HJ" hidden="1">{#N/A,#N/A,FALSE,"단축1";#N/A,#N/A,FALSE,"단축2";#N/A,#N/A,FALSE,"단축3";#N/A,#N/A,FALSE,"장축";#N/A,#N/A,FALSE,"4WD"}</definedName>
    <definedName name="HJL">#REF!</definedName>
    <definedName name="HKJ" hidden="1">{#N/A,#N/A,FALSE,"단축1";#N/A,#N/A,FALSE,"단축2";#N/A,#N/A,FALSE,"단축3";#N/A,#N/A,FALSE,"장축";#N/A,#N/A,FALSE,"4WD"}</definedName>
    <definedName name="hpv" hidden="1">{#N/A,#N/A,FALSE,"단축1";#N/A,#N/A,FALSE,"단축2";#N/A,#N/A,FALSE,"단축3";#N/A,#N/A,FALSE,"장축";#N/A,#N/A,FALSE,"4WD"}</definedName>
    <definedName name="HR_CAR_사전품질" hidden="1">{#N/A,#N/A,FALSE,"단축1";#N/A,#N/A,FALSE,"단축2";#N/A,#N/A,FALSE,"단축3";#N/A,#N/A,FALSE,"장축";#N/A,#N/A,FALSE,"4WD"}</definedName>
    <definedName name="HRMESS029_Rev._1">#REF!</definedName>
    <definedName name="HYP" hidden="1">#REF!</definedName>
    <definedName name="ic" hidden="1">{#N/A,#N/A,FALSE,"단축1";#N/A,#N/A,FALSE,"단축2";#N/A,#N/A,FALSE,"단축3";#N/A,#N/A,FALSE,"장축";#N/A,#N/A,FALSE,"4WD"}</definedName>
    <definedName name="II">#REF!</definedName>
    <definedName name="INDEX">#REF!</definedName>
    <definedName name="IRE" hidden="1">{#N/A,#N/A,FALSE,"단축1";#N/A,#N/A,FALSE,"단축2";#N/A,#N/A,FALSE,"단축3";#N/A,#N/A,FALSE,"장축";#N/A,#N/A,FALSE,"4WD"}</definedName>
    <definedName name="ITEM" hidden="1">{#N/A,#N/A,FALSE,"단축1";#N/A,#N/A,FALSE,"단축2";#N/A,#N/A,FALSE,"단축3";#N/A,#N/A,FALSE,"장축";#N/A,#N/A,FALSE,"4WD"}</definedName>
    <definedName name="ITEMTABLE">#REF!</definedName>
    <definedName name="J" hidden="1">{#N/A,#N/A,FALSE,"신규dep";#N/A,#N/A,FALSE,"신규dep-금형상각후";#N/A,#N/A,FALSE,"신규dep-연구비상각후";#N/A,#N/A,FALSE,"신규dep-기계,공구상각후"}</definedName>
    <definedName name="JGHJ" hidden="1">{#N/A,#N/A,FALSE,"단축1";#N/A,#N/A,FALSE,"단축2";#N/A,#N/A,FALSE,"단축3";#N/A,#N/A,FALSE,"장축";#N/A,#N/A,FALSE,"4WD"}</definedName>
    <definedName name="JHGFKGKJ">#REF!</definedName>
    <definedName name="JIFFIX">#N/A</definedName>
    <definedName name="JIN">#REF!</definedName>
    <definedName name="JJ">BlankMacro1</definedName>
    <definedName name="JJJ" hidden="1">{#N/A,#N/A,FALSE,"전제";#N/A,#N/A,FALSE,"표지";#N/A,#N/A,FALSE,"6D16";#N/A,#N/A,FALSE,"6D22";#N/A,#N/A,FALSE,"6D22-T";#N/A,#N/A,FALSE,"Q-DEG";#N/A,#N/A,FALSE,"총손";#N/A,#N/A,FALSE,"대당";#N/A,#N/A,FALSE,"가공비"}</definedName>
    <definedName name="JJJJJJ" hidden="1">{#N/A,#N/A,FALSE,"단축1";#N/A,#N/A,FALSE,"단축2";#N/A,#N/A,FALSE,"단축3";#N/A,#N/A,FALSE,"장축";#N/A,#N/A,FALSE,"4WD"}</definedName>
    <definedName name="JK" hidden="1">{#N/A,#N/A,TRUE,"Y생산";#N/A,#N/A,TRUE,"Y판매";#N/A,#N/A,TRUE,"Y총물량";#N/A,#N/A,TRUE,"Y능력";#N/A,#N/A,TRUE,"YKD"}</definedName>
    <definedName name="JKL">#REF!</definedName>
    <definedName name="JLK">BlankMacro1</definedName>
    <definedName name="JLSGGE">#REF!</definedName>
    <definedName name="JORIB">#N/A</definedName>
    <definedName name="JQX">#REF!</definedName>
    <definedName name="JWG" hidden="1">{#N/A,#N/A,FALSE,"단축1";#N/A,#N/A,FALSE,"단축2";#N/A,#N/A,FALSE,"단축3";#N/A,#N/A,FALSE,"장축";#N/A,#N/A,FALSE,"4WD"}</definedName>
    <definedName name="K" hidden="1">{#N/A,#N/A,TRUE,"Y생산";#N/A,#N/A,TRUE,"Y판매";#N/A,#N/A,TRUE,"Y총물량";#N/A,#N/A,TRUE,"Y능력";#N/A,#N/A,TRUE,"YKD"}</definedName>
    <definedName name="K01134111Z">#REF!</definedName>
    <definedName name="k1공장" hidden="1">{#N/A,#N/A,TRUE,"Y생산";#N/A,#N/A,TRUE,"Y판매";#N/A,#N/A,TRUE,"Y총물량";#N/A,#N/A,TRUE,"Y능력";#N/A,#N/A,TRUE,"YKD"}</definedName>
    <definedName name="K72A26151">#REF!</definedName>
    <definedName name="K72A28799">#REF!</definedName>
    <definedName name="K72A34721">#REF!</definedName>
    <definedName name="K72A34722">#REF!</definedName>
    <definedName name="K72A34723">#REF!</definedName>
    <definedName name="K72A34724">#REF!</definedName>
    <definedName name="K72A34725">#REF!</definedName>
    <definedName name="K72A34726">#REF!</definedName>
    <definedName name="K72A34727">#REF!</definedName>
    <definedName name="K72B">#REF!</definedName>
    <definedName name="K74A189E1">#REF!</definedName>
    <definedName name="K74A19090">#REF!</definedName>
    <definedName name="K78A189E1">#REF!</definedName>
    <definedName name="K78A19090">#REF!</definedName>
    <definedName name="K86527200">#REF!</definedName>
    <definedName name="K8M" hidden="1">{#N/A,#N/A,FALSE,"전제";#N/A,#N/A,FALSE,"표지";#N/A,#N/A,FALSE,"6D16";#N/A,#N/A,FALSE,"6D22";#N/A,#N/A,FALSE,"6D22-T";#N/A,#N/A,FALSE,"Q-DEG";#N/A,#N/A,FALSE,"총손";#N/A,#N/A,FALSE,"대당";#N/A,#N/A,FALSE,"가공비"}</definedName>
    <definedName name="KA">#REF!</definedName>
    <definedName name="KAA">#REF!</definedName>
    <definedName name="KCH">#REF!</definedName>
    <definedName name="KI">BlankMacro1</definedName>
    <definedName name="KIA" hidden="1">{#N/A,#N/A,FALSE,"단축1";#N/A,#N/A,FALSE,"단축2";#N/A,#N/A,FALSE,"단축3";#N/A,#N/A,FALSE,"장축";#N/A,#N/A,FALSE,"4WD"}</definedName>
    <definedName name="kia2ttl">#REF!</definedName>
    <definedName name="KIA4TTL">#REF!</definedName>
    <definedName name="KIM" hidden="1">{#N/A,#N/A,FALSE,"단축1";#N/A,#N/A,FALSE,"단축2";#N/A,#N/A,FALSE,"단축3";#N/A,#N/A,FALSE,"장축";#N/A,#N/A,FALSE,"4WD"}</definedName>
    <definedName name="KJH">#REF!</definedName>
    <definedName name="KK" hidden="1">{#N/A,#N/A,TRUE,"Y생산";#N/A,#N/A,TRUE,"Y판매";#N/A,#N/A,TRUE,"Y총물량";#N/A,#N/A,TRUE,"Y능력";#N/A,#N/A,TRUE,"YKD"}</definedName>
    <definedName name="kkk" hidden="1">{#N/A,#N/A,FALSE,"단축1";#N/A,#N/A,FALSE,"단축2";#N/A,#N/A,FALSE,"단축3";#N/A,#N/A,FALSE,"장축";#N/A,#N/A,FALSE,"4WD"}</definedName>
    <definedName name="KKKK" hidden="1">{#N/A,#N/A,FALSE,"단축1";#N/A,#N/A,FALSE,"단축2";#N/A,#N/A,FALSE,"단축3";#N/A,#N/A,FALSE,"장축";#N/A,#N/A,FALSE,"4WD"}</definedName>
    <definedName name="KKKKKKK" hidden="1">{#N/A,#N/A,FALSE,"단축1";#N/A,#N/A,FALSE,"단축2";#N/A,#N/A,FALSE,"단축3";#N/A,#N/A,FALSE,"장축";#N/A,#N/A,FALSE,"4WD"}</definedName>
    <definedName name="KK노무비" hidden="1">{#N/A,#N/A,TRUE,"Y생산";#N/A,#N/A,TRUE,"Y판매";#N/A,#N/A,TRUE,"Y총물량";#N/A,#N/A,TRUE,"Y능력";#N/A,#N/A,TRUE,"YKD"}</definedName>
    <definedName name="KL" hidden="1">{#N/A,#N/A,FALSE,"단축1";#N/A,#N/A,FALSE,"단축2";#N/A,#N/A,FALSE,"단축3";#N/A,#N/A,FALSE,"장축";#N/A,#N/A,FALSE,"4WD"}</definedName>
    <definedName name="KLKL" hidden="1">{#N/A,#N/A,FALSE,"단축1";#N/A,#N/A,FALSE,"단축2";#N/A,#N/A,FALSE,"단축3";#N/A,#N/A,FALSE,"장축";#N/A,#N/A,FALSE,"4WD"}</definedName>
    <definedName name="km">#REF!</definedName>
    <definedName name="KMD" hidden="1">{#N/A,#N/A,FALSE,"96 3월물량표";#N/A,#N/A,FALSE,"96 4월물량표";#N/A,#N/A,FALSE,"96 5월물량표"}</definedName>
    <definedName name="KTY" hidden="1">{#N/A,#N/A,FALSE,"단축1";#N/A,#N/A,FALSE,"단축2";#N/A,#N/A,FALSE,"단축3";#N/A,#N/A,FALSE,"장축";#N/A,#N/A,FALSE,"4WD"}</definedName>
    <definedName name="KU" hidden="1">{#N/A,#N/A,TRUE,"Y생산";#N/A,#N/A,TRUE,"Y판매";#N/A,#N/A,TRUE,"Y총물량";#N/A,#N/A,TRUE,"Y능력";#N/A,#N/A,TRUE,"YKD"}</definedName>
    <definedName name="layout">#REF!</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EE" hidden="1">{#N/A,#N/A,FALSE,"단축1";#N/A,#N/A,FALSE,"단축2";#N/A,#N/A,FALSE,"단축3";#N/A,#N/A,FALSE,"장축";#N/A,#N/A,FALSE,"4WD"}</definedName>
    <definedName name="LEVEL">#N/A</definedName>
    <definedName name="Level_A">#REF!</definedName>
    <definedName name="Level_B">#REF!</definedName>
    <definedName name="Level_C">#REF!</definedName>
    <definedName name="Level_S">#REF!</definedName>
    <definedName name="LINEWAS">#N/A</definedName>
    <definedName name="LINE검토2" hidden="1">{#N/A,#N/A,TRUE,"Y생산";#N/A,#N/A,TRUE,"Y판매";#N/A,#N/A,TRUE,"Y총물량";#N/A,#N/A,TRUE,"Y능력";#N/A,#N/A,TRUE,"YKD"}</definedName>
    <definedName name="liste_classeur">{"XLSHEET.XLA"}</definedName>
    <definedName name="lk">#REF!</definedName>
    <definedName name="LL">#REF!</definedName>
    <definedName name="lll" hidden="1">{#N/A,#N/A,FALSE,"단축1";#N/A,#N/A,FALSE,"단축2";#N/A,#N/A,FALSE,"단축3";#N/A,#N/A,FALSE,"장축";#N/A,#N/A,FALSE,"4WD"}</definedName>
    <definedName name="LLLLD" hidden="1">{#N/A,#N/A,TRUE,"Y생산";#N/A,#N/A,TRUE,"Y판매";#N/A,#N/A,TRUE,"Y총물량";#N/A,#N/A,TRUE,"Y능력";#N/A,#N/A,TRUE,"YKD"}</definedName>
    <definedName name="LLZZ">#REF!</definedName>
    <definedName name="LOP">#REF!</definedName>
    <definedName name="loss">#REF!</definedName>
    <definedName name="LPBA109">#N/A</definedName>
    <definedName name="LPDK109">#N/A</definedName>
    <definedName name="LPVEN">#N/A</definedName>
    <definedName name="LPVEN1">#N/A</definedName>
    <definedName name="LPVEN2">#N/A</definedName>
    <definedName name="lrcp522">#REF!</definedName>
    <definedName name="LUP" hidden="1">#REF!</definedName>
    <definedName name="LVL">#N/A</definedName>
    <definedName name="LWSUPPL">#N/A</definedName>
    <definedName name="LZ">#REF!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 hidden="1">{#N/A,#N/A,FALSE,"96 3월물량표";#N/A,#N/A,FALSE,"96 4월물량표";#N/A,#N/A,FALSE,"96 5월물량표"}</definedName>
    <definedName name="M5ZR1">#REF!</definedName>
    <definedName name="Macro2">#REF!</definedName>
    <definedName name="MAE" hidden="1">{#N/A,#N/A,FALSE,"단축1";#N/A,#N/A,FALSE,"단축2";#N/A,#N/A,FALSE,"단축3";#N/A,#N/A,FALSE,"장축";#N/A,#N/A,FALSE,"4WD"}</definedName>
    <definedName name="MASTER">#REF!</definedName>
    <definedName name="MATERIAL">#N/A</definedName>
    <definedName name="MC.CV">#REF!</definedName>
    <definedName name="MCP">#REF!</definedName>
    <definedName name="MCVENDOR">#N/A</definedName>
    <definedName name="MCVENGB">#N/A</definedName>
    <definedName name="MDLWT">#REF!</definedName>
    <definedName name="MH향상" hidden="1">{#N/A,#N/A,TRUE,"Y생산";#N/A,#N/A,TRUE,"Y판매";#N/A,#N/A,TRUE,"Y총물량";#N/A,#N/A,TRUE,"Y능력";#N/A,#N/A,TRUE,"YKD"}</definedName>
    <definedName name="MJ">#REF!</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#REF!</definedName>
    <definedName name="MMMMM" hidden="1">{#N/A,#N/A,FALSE,"단축1";#N/A,#N/A,FALSE,"단축2";#N/A,#N/A,FALSE,"단축3";#N/A,#N/A,FALSE,"장축";#N/A,#N/A,FALSE,"4WD"}</definedName>
    <definedName name="MODEL">#N/A</definedName>
    <definedName name="month">#REF!</definedName>
    <definedName name="MS검사구">#REF!</definedName>
    <definedName name="MX">#REF!</definedName>
    <definedName name="MZ">#REF!</definedName>
    <definedName name="M행">#REF!</definedName>
    <definedName name="N" hidden="1">{#N/A,#N/A,FALSE,"96 3월물량표";#N/A,#N/A,FALSE,"96 4월물량표";#N/A,#N/A,FALSE,"96 5월물량표"}</definedName>
    <definedName name="name">#REF!</definedName>
    <definedName name="nation_code">#REF!</definedName>
    <definedName name="NET">#REF!</definedName>
    <definedName name="NEWNO">#N/A</definedName>
    <definedName name="NGH" hidden="1">{#N/A,#N/A,TRUE,"Y생산";#N/A,#N/A,TRUE,"Y판매";#N/A,#N/A,TRUE,"Y총물량";#N/A,#N/A,TRUE,"Y능력";#N/A,#N/A,TRUE,"YKD"}</definedName>
    <definedName name="NNL" hidden="1">{#N/A,#N/A,FALSE,"단축1";#N/A,#N/A,FALSE,"단축2";#N/A,#N/A,FALSE,"단축3";#N/A,#N/A,FALSE,"장축";#N/A,#N/A,FALSE,"4WD"}</definedName>
    <definedName name="NNN" hidden="1">{#N/A,#N/A,FALSE,"96 3월물량표";#N/A,#N/A,FALSE,"96 4월물량표";#N/A,#N/A,FALSE,"96 5월물량표"}</definedName>
    <definedName name="NNNNNNN" hidden="1">{#N/A,#N/A,FALSE,"단축1";#N/A,#N/A,FALSE,"단축2";#N/A,#N/A,FALSE,"단축3";#N/A,#N/A,FALSE,"장축";#N/A,#N/A,FALSE,"4WD"}</definedName>
    <definedName name="NOP">#N/A</definedName>
    <definedName name="NOTE" hidden="1">{#N/A,#N/A,FALSE,"단축1";#N/A,#N/A,FALSE,"단축2";#N/A,#N/A,FALSE,"단축3";#N/A,#N/A,FALSE,"장축";#N/A,#N/A,FALSE,"4WD"}</definedName>
    <definedName name="nouvelle_feuille">"VDO대책.XLS"</definedName>
    <definedName name="NW" hidden="1">{#N/A,#N/A,FALSE,"단축1";#N/A,#N/A,FALSE,"단축2";#N/A,#N/A,FALSE,"단축3";#N/A,#N/A,FALSE,"장축";#N/A,#N/A,FALSE,"4WD"}</definedName>
    <definedName name="N행">#REF!</definedName>
    <definedName name="O" hidden="1">{#N/A,#N/A,TRUE,"Y생산";#N/A,#N/A,TRUE,"Y판매";#N/A,#N/A,TRUE,"Y총물량";#N/A,#N/A,TRUE,"Y능력";#N/A,#N/A,TRUE,"YKD"}</definedName>
    <definedName name="º?°æ">#REF!</definedName>
    <definedName name="º¯°æ">#REF!</definedName>
    <definedName name="O¤eEoÆ¿ø_oÆ¡I">#REF!</definedName>
    <definedName name="Ó¤êÈôÆ¿ø_ôÆ¡Í">#REF!</definedName>
    <definedName name="oheoh">#REF!</definedName>
    <definedName name="ºI¼­">#REF!</definedName>
    <definedName name="ºÎ¼­">#REF!</definedName>
    <definedName name="ºn±³A">#REF!</definedName>
    <definedName name="ºñ±³A">#REF!</definedName>
    <definedName name="OOO" hidden="1">{#N/A,#N/A,TRUE,"Y생산";#N/A,#N/A,TRUE,"Y판매";#N/A,#N/A,TRUE,"Y총물량";#N/A,#N/A,TRUE,"Y능력";#N/A,#N/A,TRUE,"YKD"}</definedName>
    <definedName name="O행">#REF!</definedName>
    <definedName name="P_11">#REF!</definedName>
    <definedName name="P1정치">#REF!</definedName>
    <definedName name="P3가공향상" hidden="1">{#N/A,#N/A,TRUE,"Y생산";#N/A,#N/A,TRUE,"Y판매";#N/A,#N/A,TRUE,"Y총물량";#N/A,#N/A,TRUE,"Y능력";#N/A,#N/A,TRUE,"YKD"}</definedName>
    <definedName name="PAGE4" hidden="1">{#N/A,#N/A,FALSE,"단축1";#N/A,#N/A,FALSE,"단축2";#N/A,#N/A,FALSE,"단축3";#N/A,#N/A,FALSE,"장축";#N/A,#N/A,FALSE,"4WD"}</definedName>
    <definedName name="PARTNAME">#N/A</definedName>
    <definedName name="PARTNO">#N/A</definedName>
    <definedName name="PARTS">#REF!</definedName>
    <definedName name="path_xla">"C:\SYS\WINDOWS\TEMP"</definedName>
    <definedName name="PEICE">#N/A</definedName>
    <definedName name="PI" hidden="1">{#N/A,#N/A,TRUE,"Y생산";#N/A,#N/A,TRUE,"Y판매";#N/A,#N/A,TRUE,"Y총물량";#N/A,#N/A,TRUE,"Y능력";#N/A,#N/A,TRUE,"YKD"}</definedName>
    <definedName name="plt">#REF!</definedName>
    <definedName name="pltt">#REF!</definedName>
    <definedName name="PMA">#N/A</definedName>
    <definedName name="PMCHURI">#N/A</definedName>
    <definedName name="pnl">#REF!</definedName>
    <definedName name="PNLRR">#REF!</definedName>
    <definedName name="PO" hidden="1">{#N/A,#N/A,FALSE,"단축1";#N/A,#N/A,FALSE,"단축2";#N/A,#N/A,FALSE,"단축3";#N/A,#N/A,FALSE,"장축";#N/A,#N/A,FALSE,"4WD"}</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o" hidden="1">{#N/A,#N/A,FALSE,"단축1";#N/A,#N/A,FALSE,"단축2";#N/A,#N/A,FALSE,"단축3";#N/A,#N/A,FALSE,"장축";#N/A,#N/A,FALSE,"4WD"}</definedName>
    <definedName name="PPP">#REF!</definedName>
    <definedName name="PPPP" hidden="1">{#N/A,#N/A,FALSE,"단축1";#N/A,#N/A,FALSE,"단축2";#N/A,#N/A,FALSE,"단축3";#N/A,#N/A,FALSE,"장축";#N/A,#N/A,FALSE,"4WD"}</definedName>
    <definedName name="PPPPPPPP">#REF!</definedName>
    <definedName name="PRICE">#N/A</definedName>
    <definedName name="_xlnm.Print_Area">#REF!</definedName>
    <definedName name="Print_Area_MI">#REF!</definedName>
    <definedName name="PRINT_AREA_MI1">#REF!</definedName>
    <definedName name="PRINT_TITLES_MI">#REF!</definedName>
    <definedName name="PRO">0.45</definedName>
    <definedName name="PROTO">#REF!</definedName>
    <definedName name="PROTO1">#REF!</definedName>
    <definedName name="PROTO2" hidden="1">{#N/A,#N/A,FALSE,"단축1";#N/A,#N/A,FALSE,"단축2";#N/A,#N/A,FALSE,"단축3";#N/A,#N/A,FALSE,"장축";#N/A,#N/A,FALSE,"4WD"}</definedName>
    <definedName name="PROTO3" hidden="1">{#N/A,#N/A,FALSE,"단축1";#N/A,#N/A,FALSE,"단축2";#N/A,#N/A,FALSE,"단축3";#N/A,#N/A,FALSE,"장축";#N/A,#N/A,FALSE,"4WD"}</definedName>
    <definedName name="PSAYAN">#N/A</definedName>
    <definedName name="PSMPLQ12C4LRTOR339C224RTMTBTBTB">#REF!</definedName>
    <definedName name="PT다추가" hidden="1">{#N/A,#N/A,TRUE,"Y생산";#N/A,#N/A,TRUE,"Y판매";#N/A,#N/A,TRUE,"Y총물량";#N/A,#N/A,TRUE,"Y능력";#N/A,#N/A,TRUE,"YKD"}</definedName>
    <definedName name="P행">#REF!</definedName>
    <definedName name="Q2000BUS">#REF!</definedName>
    <definedName name="QC">#REF!</definedName>
    <definedName name="QH">#REF!</definedName>
    <definedName name="qlty" hidden="1">{#N/A,#N/A,TRUE,"Y생산";#N/A,#N/A,TRUE,"Y판매";#N/A,#N/A,TRUE,"Y총물량";#N/A,#N/A,TRUE,"Y능력";#N/A,#N/A,TRUE,"YKD"}</definedName>
    <definedName name="qq" hidden="1">{#N/A,#N/A,FALSE,"전제";#N/A,#N/A,FALSE,"표지";#N/A,#N/A,FALSE,"6D16";#N/A,#N/A,FALSE,"6D22";#N/A,#N/A,FALSE,"6D22-T";#N/A,#N/A,FALSE,"Q-DEG";#N/A,#N/A,FALSE,"총손";#N/A,#N/A,FALSE,"대당";#N/A,#N/A,FALSE,"가공비"}</definedName>
    <definedName name="QQQ" hidden="1">{#N/A,#N/A,FALSE,"96 3월물량표";#N/A,#N/A,FALSE,"96 4월물량표";#N/A,#N/A,FALSE,"96 5월물량표"}</definedName>
    <definedName name="QQQAAASSS" hidden="1">{#N/A,#N/A,TRUE,"Y생산";#N/A,#N/A,TRUE,"Y판매";#N/A,#N/A,TRUE,"Y총물량";#N/A,#N/A,TRUE,"Y능력";#N/A,#N/A,TRUE,"YKD"}</definedName>
    <definedName name="QQQQ" hidden="1">{#N/A,#N/A,FALSE,"96 3월물량표";#N/A,#N/A,FALSE,"96 4월물량표";#N/A,#N/A,FALSE,"96 5월물량표"}</definedName>
    <definedName name="QQQQQQ"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QQQQQQQ" hidden="1">{#N/A,#N/A,TRUE,"Y생산";#N/A,#N/A,TRUE,"Y판매";#N/A,#N/A,TRUE,"Y총물량";#N/A,#N/A,TRUE,"Y능력";#N/A,#N/A,TRUE,"YKD"}</definedName>
    <definedName name="qqqqqqqqq" hidden="1">{#N/A,#N/A,TRUE,"Y생산";#N/A,#N/A,TRUE,"Y판매";#N/A,#N/A,TRUE,"Y총물량";#N/A,#N/A,TRUE,"Y능력";#N/A,#N/A,TRUE,"YKD"}</definedName>
    <definedName name="QQZZ">#REF!</definedName>
    <definedName name="qtr_inr" hidden="1">#REF!</definedName>
    <definedName name="QTY">#N/A</definedName>
    <definedName name="QW" hidden="1">{#N/A,#N/A,FALSE,"단축1";#N/A,#N/A,FALSE,"단축2";#N/A,#N/A,FALSE,"단축3";#N/A,#N/A,FALSE,"장축";#N/A,#N/A,FALSE,"4WD"}</definedName>
    <definedName name="QWER" hidden="1">{#N/A,#N/A,FALSE,"단축1";#N/A,#N/A,FALSE,"단축2";#N/A,#N/A,FALSE,"단축3";#N/A,#N/A,FALSE,"장축";#N/A,#N/A,FALSE,"4WD"}</definedName>
    <definedName name="Q행">#REF!</definedName>
    <definedName name="R_COVER" hidden="1">{#N/A,#N/A,FALSE,"단축1";#N/A,#N/A,FALSE,"단축2";#N/A,#N/A,FALSE,"단축3";#N/A,#N/A,FALSE,"장축";#N/A,#N/A,FALSE,"4WD"}</definedName>
    <definedName name="RA">#REF!</definedName>
    <definedName name="RANK">#N/A</definedName>
    <definedName name="RATE">#REF!</definedName>
    <definedName name="RATIO">#N/A</definedName>
    <definedName name="RATIO1">#N/A</definedName>
    <definedName name="RATTLE" hidden="1">{#N/A,#N/A,FALSE,"단축1";#N/A,#N/A,FALSE,"단축2";#N/A,#N/A,FALSE,"단축3";#N/A,#N/A,FALSE,"장축";#N/A,#N/A,FALSE,"4WD"}</definedName>
    <definedName name="RDC">#REF!</definedName>
    <definedName name="RDS">#REF!</definedName>
    <definedName name="REAR" hidden="1">{#N/A,#N/A,FALSE,"단축1";#N/A,#N/A,FALSE,"단축2";#N/A,#N/A,FALSE,"단축3";#N/A,#N/A,FALSE,"장축";#N/A,#N/A,FALSE,"4WD"}</definedName>
    <definedName name="REG_RR_DR_PWR_WDW_LH">#REF!</definedName>
    <definedName name="REMARK">#N/A</definedName>
    <definedName name="RESISTOR" hidden="1">{#N/A,#N/A,FALSE,"단축1";#N/A,#N/A,FALSE,"단축2";#N/A,#N/A,FALSE,"단축3";#N/A,#N/A,FALSE,"장축";#N/A,#N/A,FALSE,"4WD"}</definedName>
    <definedName name="REST">0.45</definedName>
    <definedName name="ret">#REF!</definedName>
    <definedName name="RG" hidden="1">{#N/A,#N/A,FALSE,"단축1";#N/A,#N/A,FALSE,"단축2";#N/A,#N/A,FALSE,"단축3";#N/A,#N/A,FALSE,"장축";#N/A,#N/A,FALSE,"4WD"}</definedName>
    <definedName name="RGFGD">#REF!</definedName>
    <definedName name="RH">#REF!</definedName>
    <definedName name="rhd">BlankMacro1</definedName>
    <definedName name="RK" hidden="1">{#N/A,#N/A,FALSE,"전제";#N/A,#N/A,FALSE,"표지";#N/A,#N/A,FALSE,"6D16";#N/A,#N/A,FALSE,"6D22";#N/A,#N/A,FALSE,"6D22-T";#N/A,#N/A,FALSE,"Q-DEG";#N/A,#N/A,FALSE,"총손";#N/A,#N/A,FALSE,"대당";#N/A,#N/A,FALSE,"가공비"}</definedName>
    <definedName name="rkrjfk" hidden="1">{#N/A,#N/A,FALSE,"단축1";#N/A,#N/A,FALSE,"단축2";#N/A,#N/A,FALSE,"단축3";#N/A,#N/A,FALSE,"장축";#N/A,#N/A,FALSE,"4WD"}</definedName>
    <definedName name="RLA" hidden="1">{#N/A,#N/A,TRUE,"Y생산";#N/A,#N/A,TRUE,"Y판매";#N/A,#N/A,TRUE,"Y총물량";#N/A,#N/A,TRUE,"Y능력";#N/A,#N/A,TRUE,"YKD"}</definedName>
    <definedName name="rm">#REF!</definedName>
    <definedName name="RMRMR">#REF!</definedName>
    <definedName name="ROTJSRHKWJD1" hidden="1">{#N/A,#N/A,FALSE,"단축1";#N/A,#N/A,FALSE,"단축2";#N/A,#N/A,FALSE,"단축3";#N/A,#N/A,FALSE,"장축";#N/A,#N/A,FALSE,"4WD"}</definedName>
    <definedName name="ROYALT">#N/A</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FA">#REF!</definedName>
    <definedName name="RRFLRPNL">#REF!</definedName>
    <definedName name="rrpnl">#REF!</definedName>
    <definedName name="RRR" hidden="1">{#N/A,#N/A,FALSE,"표지";#N/A,#N/A,FALSE,"전제";#N/A,#N/A,FALSE,"손익-자 (2)";#N/A,#N/A,FALSE,"손익-자";#N/A,#N/A,FALSE,"손익-마 (2)";#N/A,#N/A,FALSE,"손익-마";#N/A,#N/A,FALSE,"총손최종"}</definedName>
    <definedName name="RT">#REF!</definedName>
    <definedName name="RT.RTDK">#REF!</definedName>
    <definedName name="RTCLCRCRDLDLRTDK">#REF!</definedName>
    <definedName name="RTCLDLRTDK">#REF!</definedName>
    <definedName name="rtclsprtdk">#REF!</definedName>
    <definedName name="RTCRCLCLCLCLCLCLDL0RTDK">#REF!</definedName>
    <definedName name="RTCRCLCLCLCLCLCLDLRTDK">#REF!</definedName>
    <definedName name="R행">#REF!</definedName>
    <definedName name="S" hidden="1">{#N/A,#N/A,FALSE,"단축1";#N/A,#N/A,FALSE,"단축2";#N/A,#N/A,FALSE,"단축3";#N/A,#N/A,FALSE,"장축";#N/A,#N/A,FALSE,"4WD"}</definedName>
    <definedName name="SADF" hidden="1">{#N/A,#N/A,FALSE,"단축1";#N/A,#N/A,FALSE,"단축2";#N/A,#N/A,FALSE,"단축3";#N/A,#N/A,FALSE,"장축";#N/A,#N/A,FALSE,"4WD"}</definedName>
    <definedName name="sadsafewt3425">#REF!</definedName>
    <definedName name="SAGFSAFS" hidden="1">{#N/A,#N/A,FALSE,"단축1";#N/A,#N/A,FALSE,"단축2";#N/A,#N/A,FALSE,"단축3";#N/A,#N/A,FALSE,"장축";#N/A,#N/A,FALSE,"4WD"}</definedName>
    <definedName name="SAMPIL">#N/A</definedName>
    <definedName name="SAMPLE">#N/A</definedName>
    <definedName name="SCARP200원적용가">BlankMacro1</definedName>
    <definedName name="SD" hidden="1">{#N/A,#N/A,FALSE,"표지";#N/A,#N/A,FALSE,"전제";#N/A,#N/A,FALSE,"손익-자 (2)";#N/A,#N/A,FALSE,"손익-자";#N/A,#N/A,FALSE,"손익-마 (2)";#N/A,#N/A,FALSE,"손익-마";#N/A,#N/A,FALSE,"총손최종"}</definedName>
    <definedName name="sdddd">#REF!</definedName>
    <definedName name="SDDSD" hidden="1">{#N/A,#N/A,FALSE,"단축1";#N/A,#N/A,FALSE,"단축2";#N/A,#N/A,FALSE,"단축3";#N/A,#N/A,FALSE,"장축";#N/A,#N/A,FALSE,"4WD"}</definedName>
    <definedName name="SDF" hidden="1">{#N/A,#N/A,FALSE,"단축1";#N/A,#N/A,FALSE,"단축2";#N/A,#N/A,FALSE,"단축3";#N/A,#N/A,FALSE,"장축";#N/A,#N/A,FALSE,"4WD"}</definedName>
    <definedName name="SDFG">#REF!</definedName>
    <definedName name="SDFGH"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DF">#REF!</definedName>
    <definedName name="SDRE">#REF!</definedName>
    <definedName name="SDSD" hidden="1">{#N/A,#N/A,FALSE,"단축1";#N/A,#N/A,FALSE,"단축2";#N/A,#N/A,FALSE,"단축3";#N/A,#N/A,FALSE,"장축";#N/A,#N/A,FALSE,"4WD"}</definedName>
    <definedName name="SDSS" hidden="1">{#N/A,#N/A,FALSE,"단축1";#N/A,#N/A,FALSE,"단축2";#N/A,#N/A,FALSE,"단축3";#N/A,#N/A,FALSE,"장축";#N/A,#N/A,FALSE,"4WD"}</definedName>
    <definedName name="SE.NO">#N/A</definedName>
    <definedName name="SER">#N/A</definedName>
    <definedName name="SERINO">#N/A</definedName>
    <definedName name="SES" hidden="1">#REF!</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 hidden="1">{#N/A,#N/A,FALSE,"단축1";#N/A,#N/A,FALSE,"단축2";#N/A,#N/A,FALSE,"단축3";#N/A,#N/A,FALSE,"장축";#N/A,#N/A,FALSE,"4WD"}</definedName>
    <definedName name="SFSFSFS" hidden="1">{#N/A,#N/A,FALSE,"단축1";#N/A,#N/A,FALSE,"단축2";#N/A,#N/A,FALSE,"단축3";#N/A,#N/A,FALSE,"장축";#N/A,#N/A,FALSE,"4WD"}</definedName>
    <definedName name="SH">#REF!</definedName>
    <definedName name="SHE" hidden="1">{#N/A,#N/A,FALSE,"전제";#N/A,#N/A,FALSE,"표지";#N/A,#N/A,FALSE,"6D16";#N/A,#N/A,FALSE,"6D22";#N/A,#N/A,FALSE,"6D22-T";#N/A,#N/A,FALSE,"Q-DEG";#N/A,#N/A,FALSE,"총손";#N/A,#N/A,FALSE,"대당";#N/A,#N/A,FALSE,"가공비"}</definedName>
    <definedName name="SHEET1">#REF!</definedName>
    <definedName name="SHEET10" hidden="1">{#N/A,#N/A,FALSE,"단축1";#N/A,#N/A,FALSE,"단축2";#N/A,#N/A,FALSE,"단축3";#N/A,#N/A,FALSE,"장축";#N/A,#N/A,FALSE,"4WD"}</definedName>
    <definedName name="SHEET3">#REF!</definedName>
    <definedName name="SHI" hidden="1">{#N/A,#N/A,FALSE,"단축1";#N/A,#N/A,FALSE,"단축2";#N/A,#N/A,FALSE,"단축3";#N/A,#N/A,FALSE,"장축";#N/A,#N/A,FALSE,"4WD"}</definedName>
    <definedName name="shin" hidden="1">{#N/A,#N/A,FALSE,"단축1";#N/A,#N/A,FALSE,"단축2";#N/A,#N/A,FALSE,"단축3";#N/A,#N/A,FALSE,"장축";#N/A,#N/A,FALSE,"4WD"}</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 hidden="1">{#N/A,#N/A,FALSE,"표지";#N/A,#N/A,FALSE,"전제";#N/A,#N/A,FALSE,"대당";#N/A,#N/A,FALSE,"가공비";#N/A,#N/A,FALSE,"재료비";#N/A,#N/A,FALSE,"손익"}</definedName>
    <definedName name="SKEKSK" hidden="1">{#N/A,#N/A,FALSE,"품의서";#N/A,#N/A,FALSE,"전제";#N/A,#N/A,FALSE,"총손";#N/A,#N/A,FALSE,"손익"}</definedName>
    <definedName name="SKFK">#REF!</definedName>
    <definedName name="SKLL">#REF!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tgate">#REF!</definedName>
    <definedName name="SM부자재" hidden="1">{#N/A,#N/A,FALSE,"신규dep";#N/A,#N/A,FALSE,"신규dep-금형상각후";#N/A,#N/A,FALSE,"신규dep-연구비상각후";#N/A,#N/A,FALSE,"신규dep-기계,공구상각후"}</definedName>
    <definedName name="SM일반종합">#REF!</definedName>
    <definedName name="SOJAE">#N/A</definedName>
    <definedName name="SPB">#REF!</definedName>
    <definedName name="SPEC2" hidden="1">{#N/A,#N/A,FALSE,"단축1";#N/A,#N/A,FALSE,"단축2";#N/A,#N/A,FALSE,"단축3";#N/A,#N/A,FALSE,"장축";#N/A,#N/A,FALSE,"4WD"}</definedName>
    <definedName name="SPEC22" hidden="1">{#N/A,#N/A,FALSE,"단축1";#N/A,#N/A,FALSE,"단축2";#N/A,#N/A,FALSE,"단축3";#N/A,#N/A,FALSE,"장축";#N/A,#N/A,FALSE,"4WD"}</definedName>
    <definedName name="SPEED_D170">#REF!</definedName>
    <definedName name="SPM_SPH">#REF!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{#N/A,#N/A,FALSE,"단축1";#N/A,#N/A,FALSE,"단축2";#N/A,#N/A,FALSE,"단축3";#N/A,#N/A,FALSE,"장축";#N/A,#N/A,FALSE,"4WD"}</definedName>
    <definedName name="SSDD" hidden="1">{#N/A,#N/A,FALSE,"단축1";#N/A,#N/A,FALSE,"단축2";#N/A,#N/A,FALSE,"단축3";#N/A,#N/A,FALSE,"장축";#N/A,#N/A,FALSE,"4WD"}</definedName>
    <definedName name="SSEOLB">#N/A</definedName>
    <definedName name="sss">#REF!</definedName>
    <definedName name="ssssssss" hidden="1">{#N/A,#N/A,FALSE,"단축1";#N/A,#N/A,FALSE,"단축2";#N/A,#N/A,FALSE,"단축3";#N/A,#N/A,FALSE,"장축";#N/A,#N/A,FALSE,"4WD"}</definedName>
    <definedName name="SUF">#N/A</definedName>
    <definedName name="SUNAPS">#N/A</definedName>
    <definedName name="S행">#REF!</definedName>
    <definedName name="T" hidden="1">{#N/A,#N/A,FALSE,"단축1";#N/A,#N/A,FALSE,"단축2";#N/A,#N/A,FALSE,"단축3";#N/A,#N/A,FALSE,"장축";#N/A,#N/A,FALSE,"4WD"}</definedName>
    <definedName name="TA">BlankMacro1</definedName>
    <definedName name="TB" hidden="1">{#N/A,#N/A,FALSE,"단축1";#N/A,#N/A,FALSE,"단축2";#N/A,#N/A,FALSE,"단축3";#N/A,#N/A,FALSE,"장축";#N/A,#N/A,FALSE,"4WD"}</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WR" hidden="1">{#N/A,#N/A,TRUE,"Y생산";#N/A,#N/A,TRUE,"Y판매";#N/A,#N/A,TRUE,"Y총물량";#N/A,#N/A,TRUE,"Y능력";#N/A,#N/A,TRUE,"YKD"}</definedName>
    <definedName name="TH" hidden="1">{#N/A,#N/A,FALSE,"단축1";#N/A,#N/A,FALSE,"단축2";#N/A,#N/A,FALSE,"단축3";#N/A,#N/A,FALSE,"장축";#N/A,#N/A,FALSE,"4WD"}</definedName>
    <definedName name="THEME2" hidden="1">{#N/A,#N/A,FALSE,"96 3월물량표";#N/A,#N/A,FALSE,"96 4월물량표";#N/A,#N/A,FALSE,"96 5월물량표"}</definedName>
    <definedName name="time">#REF!</definedName>
    <definedName name="TIP">#REF!</definedName>
    <definedName name="TLEHDrJWLA2">#REF!</definedName>
    <definedName name="TORSION" hidden="1">{#N/A,#N/A,FALSE,"단축1";#N/A,#N/A,FALSE,"단축2";#N/A,#N/A,FALSE,"단축3";#N/A,#N/A,FALSE,"장축";#N/A,#N/A,FALSE,"4WD"}</definedName>
    <definedName name="TOT_구분">#REF!</definedName>
    <definedName name="TPQN">#REF!</definedName>
    <definedName name="TREE">#REF!</definedName>
    <definedName name="TRIM별COST2" hidden="1">{#N/A,#N/A,FALSE,"단축1";#N/A,#N/A,FALSE,"단축2";#N/A,#N/A,FALSE,"단축3";#N/A,#N/A,FALSE,"장축";#N/A,#N/A,FALSE,"4WD"}</definedName>
    <definedName name="TRT">#REF!</definedName>
    <definedName name="TSDT">#REF!</definedName>
    <definedName name="TT" hidden="1">{#N/A,#N/A,FALSE,"단축1";#N/A,#N/A,FALSE,"단축2";#N/A,#N/A,FALSE,"단축3";#N/A,#N/A,FALSE,"장축";#N/A,#N/A,FALSE,"4WD"}</definedName>
    <definedName name="TTH" hidden="1">{#N/A,#N/A,FALSE,"신규dep";#N/A,#N/A,FALSE,"신규dep-금형상각후";#N/A,#N/A,FALSE,"신규dep-연구비상각후";#N/A,#N/A,FALSE,"신규dep-기계,공구상각후"}</definedName>
    <definedName name="ttl">#REF!</definedName>
    <definedName name="TTLWEI">#N/A</definedName>
    <definedName name="TTT">#REF!</definedName>
    <definedName name="tvalue">#REF!</definedName>
    <definedName name="TWA">#REF!</definedName>
    <definedName name="TY" hidden="1">{#N/A,#N/A,FALSE,"단축1";#N/A,#N/A,FALSE,"단축2";#N/A,#N/A,FALSE,"단축3";#N/A,#N/A,FALSE,"장축";#N/A,#N/A,FALSE,"4WD"}</definedName>
    <definedName name="TYRUI" hidden="1">{#N/A,#N/A,FALSE,"단축1";#N/A,#N/A,FALSE,"단축2";#N/A,#N/A,FALSE,"단축3";#N/A,#N/A,FALSE,"장축";#N/A,#N/A,FALSE,"4WD"}</definedName>
    <definedName name="TYU">#REF!</definedName>
    <definedName name="T행">#REF!</definedName>
    <definedName name="UB" hidden="1">#REF!</definedName>
    <definedName name="UIP" hidden="1">{#N/A,#N/A,FALSE,"단축1";#N/A,#N/A,FALSE,"단축2";#N/A,#N/A,FALSE,"단축3";#N/A,#N/A,FALSE,"장축";#N/A,#N/A,FALSE,"4WD"}</definedName>
    <definedName name="UKFL" hidden="1">{#N/A,#N/A,FALSE,"단축1";#N/A,#N/A,FALSE,"단축2";#N/A,#N/A,FALSE,"단축3";#N/A,#N/A,FALSE,"장축";#N/A,#N/A,FALSE,"4WD"}</definedName>
    <definedName name="UNIT2">#REF!</definedName>
    <definedName name="upg">#REF!</definedName>
    <definedName name="uu">#REF!</definedName>
    <definedName name="UUT">#REF!</definedName>
    <definedName name="uuuu">#REF!</definedName>
    <definedName name="UYTRC" hidden="1">{#N/A,#N/A,FALSE,"단축1";#N/A,#N/A,FALSE,"단축2";#N/A,#N/A,FALSE,"단축3";#N/A,#N/A,FALSE,"장축";#N/A,#N/A,FALSE,"4WD"}</definedName>
    <definedName name="U행">#REF!</definedName>
    <definedName name="VAT">0.16</definedName>
    <definedName name="VENHUBO">#N/A</definedName>
    <definedName name="VPDLSXM" hidden="1">{#N/A,#N/A,TRUE,"Y생산";#N/A,#N/A,TRUE,"Y판매";#N/A,#N/A,TRUE,"Y총물량";#N/A,#N/A,TRUE,"Y능력";#N/A,#N/A,TRUE,"YKD"}</definedName>
    <definedName name="VVV">#REF!</definedName>
    <definedName name="vywl">#REF!</definedName>
    <definedName name="V행">#REF!</definedName>
    <definedName name="W">#REF!</definedName>
    <definedName name="W4QW3">#REF!</definedName>
    <definedName name="WAGON_TOTAL">#REF!</definedName>
    <definedName name="WCa">#REF!</definedName>
    <definedName name="WEARF" hidden="1">{#N/A,#N/A,TRUE,"Y생산";#N/A,#N/A,TRUE,"Y판매";#N/A,#N/A,TRUE,"Y총물량";#N/A,#N/A,TRUE,"Y능력";#N/A,#N/A,TRUE,"YKD"}</definedName>
    <definedName name="WEE" hidden="1">{#N/A,#N/A,FALSE,"신규dep";#N/A,#N/A,FALSE,"신규dep-금형상각후";#N/A,#N/A,FALSE,"신규dep-연구비상각후";#N/A,#N/A,FALSE,"신규dep-기계,공구상각후"}</definedName>
    <definedName name="WEFRWE" hidden="1">{#N/A,#N/A,FALSE,"단축1";#N/A,#N/A,FALSE,"단축2";#N/A,#N/A,FALSE,"단축3";#N/A,#N/A,FALSE,"장축";#N/A,#N/A,FALSE,"4WD"}</definedName>
    <definedName name="WEIGHT">#N/A</definedName>
    <definedName name="WELD">#REF!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IIWIW" hidden="1">{#N/A,#N/A,TRUE,"Y생산";#N/A,#N/A,TRUE,"Y판매";#N/A,#N/A,TRUE,"Y총물량";#N/A,#N/A,TRUE,"Y능력";#N/A,#N/A,TRUE,"YKD"}</definedName>
    <definedName name="WJ" hidden="1">#REF!</definedName>
    <definedName name="wjdwlswlswlslwlsl" hidden="1">{#N/A,#N/A,TRUE,"Y생산";#N/A,#N/A,TRUE,"Y판매";#N/A,#N/A,TRUE,"Y총물량";#N/A,#N/A,TRUE,"Y능력";#N/A,#N/A,TRUE,"YKD"}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pwkrdlfwjd" hidden="1">{#N/A,#N/A,FALSE,"단축1";#N/A,#N/A,FALSE,"단축2";#N/A,#N/A,FALSE,"단축3";#N/A,#N/A,FALSE,"장축";#N/A,#N/A,FALSE,"4WD"}</definedName>
    <definedName name="WQ" hidden="1">{#N/A,#N/A,FALSE,"단축1";#N/A,#N/A,FALSE,"단축2";#N/A,#N/A,FALSE,"단축3";#N/A,#N/A,FALSE,"장축";#N/A,#N/A,FALSE,"4WD"}</definedName>
    <definedName name="wqwqw" hidden="1">{#N/A,#N/A,FALSE,"단축1";#N/A,#N/A,FALSE,"단축2";#N/A,#N/A,FALSE,"단축3";#N/A,#N/A,FALSE,"장축";#N/A,#N/A,FALSE,"4WD"}</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345." hidden="1">{#N/A,#N/A,FALSE,"96 3월물량표";#N/A,#N/A,FALSE,"96 4월물량표";#N/A,#N/A,FALSE,"96 5월물량표"}</definedName>
    <definedName name="wrn.AG._.Kosten." hidden="1">{#N/A,#N/A,FALSE,"AG";#N/A,#N/A,FALSE,"GB-I";#N/A,#N/A,FALSE,"GB--SR_K";#N/A,#N/A,FALSE,"GB-SR_B";#N/A,#N/A,FALSE,"GB-KS";#N/A,#N/A,FALSE,"Kammerer";#N/A,#N/A,FALSE,"Kienzle"}</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Deckblatt." hidden="1">{#N/A,#N/A,FALSE,"Status";#N/A,#N/A,FALSE,"Deckblatt 1";#N/A,#N/A,FALSE,"Deckblatt2"}</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재고분석." hidden="1">{#N/A,#N/A,TRUE,"재고분석";#N/A,#N/A,TRUE,"입고현황"}</definedName>
    <definedName name="wrn.전부인쇄."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vu.Komplett."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wvu.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#REF!</definedName>
    <definedName name="WWEWERE" hidden="1">{#N/A,#N/A,FALSE,"신규dep";#N/A,#N/A,FALSE,"신규dep-금형상각후";#N/A,#N/A,FALSE,"신규dep-연구비상각후";#N/A,#N/A,FALSE,"신규dep-기계,공구상각후"}</definedName>
    <definedName name="WWW" hidden="1">{#N/A,#N/A,FALSE,"전제";#N/A,#N/A,FALSE,"표지";#N/A,#N/A,FALSE,"6D16";#N/A,#N/A,FALSE,"6D22";#N/A,#N/A,FALSE,"6D22-T";#N/A,#N/A,FALSE,"Q-DEG";#N/A,#N/A,FALSE,"총손";#N/A,#N/A,FALSE,"대당";#N/A,#N/A,FALSE,"가공비"}</definedName>
    <definedName name="WWW.SCREEN."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wwww">#REF!</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YU" hidden="1">{#N/A,#N/A,FALSE,"단축1";#N/A,#N/A,FALSE,"단축2";#N/A,#N/A,FALSE,"단축3";#N/A,#N/A,FALSE,"장축";#N/A,#N/A,FALSE,"4WD"}</definedName>
    <definedName name="W행">#REF!</definedName>
    <definedName name="W행1">#N/A</definedName>
    <definedName name="x">#REF!</definedName>
    <definedName name="X9802장판원본_원본_List">#REF!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#REF!</definedName>
    <definedName name="XG¾×¼C">#REF!</definedName>
    <definedName name="XG¾×¼Ç">#REF!</definedName>
    <definedName name="XG개" hidden="1">{#N/A,#N/A,FALSE,"단축1";#N/A,#N/A,FALSE,"단축2";#N/A,#N/A,FALSE,"단축3";#N/A,#N/A,FALSE,"장축";#N/A,#N/A,FALSE,"4WD"}</definedName>
    <definedName name="XG개선" hidden="1">{#N/A,#N/A,FALSE,"단축1";#N/A,#N/A,FALSE,"단축2";#N/A,#N/A,FALSE,"단축3";#N/A,#N/A,FALSE,"장축";#N/A,#N/A,FALSE,"4WD"}</definedName>
    <definedName name="XG액션">#REF!</definedName>
    <definedName name="XNXNX" hidden="1">{#N/A,#N/A,TRUE,"Y생산";#N/A,#N/A,TRUE,"Y판매";#N/A,#N/A,TRUE,"Y총물량";#N/A,#N/A,TRUE,"Y능력";#N/A,#N/A,TRUE,"YKD"}</definedName>
    <definedName name="XX">#REF!</definedName>
    <definedName name="XXX">#REF!</definedName>
    <definedName name="X행">#REF!</definedName>
    <definedName name="YG">#REF!</definedName>
    <definedName name="YHFFDD" hidden="1">{#N/A,#N/A,FALSE,"단축1";#N/A,#N/A,FALSE,"단축2";#N/A,#N/A,FALSE,"단축3";#N/A,#N/A,FALSE,"장축";#N/A,#N/A,FALSE,"4WD"}</definedName>
    <definedName name="YM">#REF!</definedName>
    <definedName name="YULCHURI">#N/A</definedName>
    <definedName name="YY" hidden="1">{#N/A,#N/A,FALSE,"96 3월물량표";#N/A,#N/A,FALSE,"96 4월물량표";#N/A,#N/A,FALSE,"96 5월물량표"}</definedName>
    <definedName name="YYY" hidden="1">{#N/A,#N/A,TRUE,"Y생산";#N/A,#N/A,TRUE,"Y판매";#N/A,#N/A,TRUE,"Y총물량";#N/A,#N/A,TRUE,"Y능력";#N/A,#N/A,TRUE,"YKD"}</definedName>
    <definedName name="Y부서">#REF!</definedName>
    <definedName name="Z">#REF!</definedName>
    <definedName name="ZBN" hidden="1">{#N/A,#N/A,FALSE,"단축1";#N/A,#N/A,FALSE,"단축2";#N/A,#N/A,FALSE,"단축3";#N/A,#N/A,FALSE,"장축";#N/A,#N/A,FALSE,"4WD"}</definedName>
    <definedName name="ZSD">#REF!</definedName>
    <definedName name="ZTQTY">#N/A</definedName>
    <definedName name="ZXC" hidden="1">#REF!</definedName>
    <definedName name="ZXCZXC" hidden="1">#REF!</definedName>
    <definedName name="ZZ">#REF!</definedName>
    <definedName name="ZZZ">#REF!</definedName>
    <definedName name="ZZZC">#REF!</definedName>
    <definedName name="α">#REF!</definedName>
    <definedName name="β">#REF!</definedName>
    <definedName name="γ">#REF!</definedName>
    <definedName name="π">PI()</definedName>
    <definedName name="ㄱ" hidden="1">{#N/A,#N/A,FALSE,"단축1";#N/A,#N/A,FALSE,"단축2";#N/A,#N/A,FALSE,"단축3";#N/A,#N/A,FALSE,"장축";#N/A,#N/A,FALSE,"4WD"}</definedName>
    <definedName name="ㄱ3ㄹㅈㄷㄱ">#REF!</definedName>
    <definedName name="ㄱㄱ" hidden="1">{#N/A,#N/A,FALSE,"단축1";#N/A,#N/A,FALSE,"단축2";#N/A,#N/A,FALSE,"단축3";#N/A,#N/A,FALSE,"장축";#N/A,#N/A,FALSE,"4WD"}</definedName>
    <definedName name="ㄱㄱㄱ">#REF!</definedName>
    <definedName name="ㄱㄳㅕ">#REF!</definedName>
    <definedName name="ㄱㄷㅁㄱ" hidden="1">{#N/A,#N/A,FALSE,"단축1";#N/A,#N/A,FALSE,"단축2";#N/A,#N/A,FALSE,"단축3";#N/A,#N/A,FALSE,"장축";#N/A,#N/A,FALSE,"4WD"}</definedName>
    <definedName name="ㄱㄹ">#REF!</definedName>
    <definedName name="ㄱㄿㅍ">BlankMacro1</definedName>
    <definedName name="ㄱ소쇼ㅏㅕㅐ">#REF!</definedName>
    <definedName name="ㄱ소효ㅜ">#REF!</definedName>
    <definedName name="ㄱ쇼">#REF!</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가">#REF!</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가가">#REF!</definedName>
    <definedName name="가격" hidden="1">{#N/A,#N/A,FALSE,"단축1";#N/A,#N/A,FALSE,"단축2";#N/A,#N/A,FALSE,"단축3";#N/A,#N/A,FALSE,"장축";#N/A,#N/A,FALSE,"4WD"}</definedName>
    <definedName name="가나다" hidden="1">{#N/A,#N/A,FALSE,"단축1";#N/A,#N/A,FALSE,"단축2";#N/A,#N/A,FALSE,"단축3";#N/A,#N/A,FALSE,"장축";#N/A,#N/A,FALSE,"4WD"}</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라">#REF!</definedName>
    <definedName name="가아나" hidden="1">{#N/A,#N/A,TRUE,"Y생산";#N/A,#N/A,TRUE,"Y판매";#N/A,#N/A,TRUE,"Y총물량";#N/A,#N/A,TRUE,"Y능력";#N/A,#N/A,TRUE,"YKD"}</definedName>
    <definedName name="가을" hidden="1">{#N/A,#N/A,TRUE,"Y생산";#N/A,#N/A,TRUE,"Y판매";#N/A,#N/A,TRUE,"Y총물량";#N/A,#N/A,TRUE,"Y능력";#N/A,#N/A,TRUE,"YKD"}</definedName>
    <definedName name="가중치">#REF!</definedName>
    <definedName name="가타" hidden="1">{#N/A,#N/A,TRUE,"Y생산";#N/A,#N/A,TRUE,"Y판매";#N/A,#N/A,TRUE,"Y총물량";#N/A,#N/A,TRUE,"Y능력";#N/A,#N/A,TRUE,"YKD"}</definedName>
    <definedName name="각방안" hidden="1">{#N/A,#N/A,FALSE,"단축1";#N/A,#N/A,FALSE,"단축2";#N/A,#N/A,FALSE,"단축3";#N/A,#N/A,FALSE,"장축";#N/A,#N/A,FALSE,"4WD"}</definedName>
    <definedName name="간접비">#REF!</definedName>
    <definedName name="갑지양식">#REF!</definedName>
    <definedName name="개" hidden="1">{#N/A,#N/A,FALSE,"신규dep";#N/A,#N/A,FALSE,"신규dep-금형상각후";#N/A,#N/A,FALSE,"신규dep-연구비상각후";#N/A,#N/A,FALSE,"신규dep-기계,공구상각후"}</definedName>
    <definedName name="개발">#REF!</definedName>
    <definedName name="개발문제범"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개요1">#REF!</definedName>
    <definedName name="개월">#REF!</definedName>
    <definedName name="갸" hidden="1">{#N/A,#N/A,TRUE,"Y생산";#N/A,#N/A,TRUE,"Y판매";#N/A,#N/A,TRUE,"Y총물량";#N/A,#N/A,TRUE,"Y능력";#N/A,#N/A,TRUE,"YKD"}</definedName>
    <definedName name="갹">BlankMacro1</definedName>
    <definedName name="거거" hidden="1">{#N/A,#N/A,TRUE,"Y생산";#N/A,#N/A,TRUE,"Y판매";#N/A,#N/A,TRUE,"Y총물량";#N/A,#N/A,TRUE,"Y능력";#N/A,#N/A,TRUE,"YKD"}</definedName>
    <definedName name="건" hidden="1">{#N/A,#N/A,FALSE,"단축1";#N/A,#N/A,FALSE,"단축2";#N/A,#N/A,FALSE,"단축3";#N/A,#N/A,FALSE,"장축";#N/A,#N/A,FALSE,"4WD"}</definedName>
    <definedName name="건열" hidden="1">{#N/A,#N/A,TRUE,"Y생산";#N/A,#N/A,TRUE,"Y판매";#N/A,#N/A,TRUE,"Y총물량";#N/A,#N/A,TRUE,"Y능력";#N/A,#N/A,TRUE,"YKD"}</definedName>
    <definedName name="게" hidden="1">{#N/A,#N/A,FALSE,"단축1";#N/A,#N/A,FALSE,"단축2";#N/A,#N/A,FALSE,"단축3";#N/A,#N/A,FALSE,"장축";#N/A,#N/A,FALSE,"4WD"}</definedName>
    <definedName name="결">#REF!</definedName>
    <definedName name="결과">#REF!</definedName>
    <definedName name="경로" hidden="1">{#N/A,#N/A,TRUE,"Y생산";#N/A,#N/A,TRUE,"Y판매";#N/A,#N/A,TRUE,"Y총물량";#N/A,#N/A,TRUE,"Y능력";#N/A,#N/A,TRUE,"YKD"}</definedName>
    <definedName name="경상비8월" hidden="1">{#N/A,#N/A,FALSE,"단축1";#N/A,#N/A,FALSE,"단축2";#N/A,#N/A,FALSE,"단축3";#N/A,#N/A,FALSE,"장축";#N/A,#N/A,FALSE,"4WD"}</definedName>
    <definedName name="경쟁3">#REF!</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#REF!</definedName>
    <definedName name="계정종합표" hidden="1">{#N/A,#N/A,TRUE,"Y생산";#N/A,#N/A,TRUE,"Y판매";#N/A,#N/A,TRUE,"Y총물량";#N/A,#N/A,TRUE,"Y능력";#N/A,#N/A,TRUE,"YKD"}</definedName>
    <definedName name="계좌">#REF!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추진팀_투자예산.">#REF!</definedName>
    <definedName name="계획표" hidden="1">{#N/A,#N/A,FALSE,"단축1";#N/A,#N/A,FALSE,"단축2";#N/A,#N/A,FALSE,"단축3";#N/A,#N/A,FALSE,"장축";#N/A,#N/A,FALSE,"4WD"}</definedName>
    <definedName name="고객미정" hidden="1">{#N/A,#N/A,FALSE,"표지";#N/A,#N/A,FALSE,"전제";#N/A,#N/A,FALSE,"손익-자 (2)";#N/A,#N/A,FALSE,"손익-자";#N/A,#N/A,FALSE,"손익-마 (2)";#N/A,#N/A,FALSE,"손익-마";#N/A,#N/A,FALSE,"총손최종"}</definedName>
    <definedName name="고인돌" hidden="1">{#N/A,#N/A,FALSE,"전제";#N/A,#N/A,FALSE,"표지";#N/A,#N/A,FALSE,"6D16";#N/A,#N/A,FALSE,"6D22";#N/A,#N/A,FALSE,"6D22-T";#N/A,#N/A,FALSE,"Q-DEG";#N/A,#N/A,FALSE,"총손";#N/A,#N/A,FALSE,"대당";#N/A,#N/A,FALSE,"가공비"}</definedName>
    <definedName name="고침">#REF!</definedName>
    <definedName name="공1">#REF!</definedName>
    <definedName name="공성환" hidden="1">{#N/A,#N/A,FALSE,"단축1";#N/A,#N/A,FALSE,"단축2";#N/A,#N/A,FALSE,"단축3";#N/A,#N/A,FALSE,"장축";#N/A,#N/A,FALSE,"4WD"}</definedName>
    <definedName name="공장도1">#REF!</definedName>
    <definedName name="공장별">#REF!</definedName>
    <definedName name="공정계획" hidden="1">{#N/A,#N/A,FALSE,"단축1";#N/A,#N/A,FALSE,"단축2";#N/A,#N/A,FALSE,"단축3";#N/A,#N/A,FALSE,"장축";#N/A,#N/A,FALSE,"4WD"}</definedName>
    <definedName name="공정조수">#REF!</definedName>
    <definedName name="공ㅌ오" hidden="1">{#N/A,#N/A,TRUE,"Y생산";#N/A,#N/A,TRUE,"Y판매";#N/A,#N/A,TRUE,"Y총물량";#N/A,#N/A,TRUE,"Y능력";#N/A,#N/A,TRUE,"YKD"}</definedName>
    <definedName name="공혈">#REF!</definedName>
    <definedName name="공혈문제견본">#REF!</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과목세목현황" hidden="1">{#N/A,#N/A,TRUE,"Y생산";#N/A,#N/A,TRUE,"Y판매";#N/A,#N/A,TRUE,"Y총물량";#N/A,#N/A,TRUE,"Y능력";#N/A,#N/A,TRUE,"YKD"}</definedName>
    <definedName name="과별분배">#REF!</definedName>
    <definedName name="管理">#N/A</definedName>
    <definedName name="관리지표2" hidden="1">{#N/A,#N/A,TRUE,"Y생산";#N/A,#N/A,TRUE,"Y판매";#N/A,#N/A,TRUE,"Y총물량";#N/A,#N/A,TRUE,"Y능력";#N/A,#N/A,TRUE,"YKD"}</definedName>
    <definedName name="교류회보고">#REF!</definedName>
    <definedName name="교육" hidden="1">{#N/A,#N/A,TRUE,"Y생산";#N/A,#N/A,TRUE,"Y판매";#N/A,#N/A,TRUE,"Y총물량";#N/A,#N/A,TRUE,"Y능력";#N/A,#N/A,TRUE,"YKD"}</definedName>
    <definedName name="교ㅡ">#REF!</definedName>
    <definedName name="구칠금형">#REF!</definedName>
    <definedName name="국">#REF!</definedName>
    <definedName name="국내2">#REF!</definedName>
    <definedName name="국내abs">#REF!</definedName>
    <definedName name="권오종" hidden="1">{#N/A,#N/A,FALSE,"단축1";#N/A,#N/A,FALSE,"단축2";#N/A,#N/A,FALSE,"단축3";#N/A,#N/A,FALSE,"장축";#N/A,#N/A,FALSE,"4WD"}</definedName>
    <definedName name="그" hidden="1">{#N/A,#N/A,FALSE,"단축1";#N/A,#N/A,FALSE,"단축2";#N/A,#N/A,FALSE,"단축3";#N/A,#N/A,FALSE,"장축";#N/A,#N/A,FALSE,"4WD"}</definedName>
    <definedName name="그룹나눈" hidden="1">{#N/A,#N/A,FALSE,"단축1";#N/A,#N/A,FALSE,"단축2";#N/A,#N/A,FALSE,"단축3";#N/A,#N/A,FALSE,"장축";#N/A,#N/A,FALSE,"4WD"}</definedName>
    <definedName name="그림">#REF!</definedName>
    <definedName name="그림222">#REF!</definedName>
    <definedName name="근거2" hidden="1">{#N/A,#N/A,FALSE,"단축1";#N/A,#N/A,FALSE,"단축2";#N/A,#N/A,FALSE,"단축3";#N/A,#N/A,FALSE,"장축";#N/A,#N/A,FALSE,"4WD"}</definedName>
    <definedName name="근본">#REF!</definedName>
    <definedName name="금송">#REF!</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단가">89064</definedName>
    <definedName name="금형편성표" hidden="1">{#N/A,#N/A,FALSE,"단축1";#N/A,#N/A,FALSE,"단축2";#N/A,#N/A,FALSE,"단축3";#N/A,#N/A,FALSE,"장축";#N/A,#N/A,FALSE,"4WD"}</definedName>
    <definedName name="기" hidden="1">{#N/A,#N/A,TRUE,"Y생산";#N/A,#N/A,TRUE,"Y판매";#N/A,#N/A,TRUE,"Y총물량";#N/A,#N/A,TRUE,"Y능력";#N/A,#N/A,TRUE,"YKD"}</definedName>
    <definedName name="機_種">#N/A</definedName>
    <definedName name="기계명">#REF!</definedName>
    <definedName name="기기">#REF!</definedName>
    <definedName name="기능">#REF!</definedName>
    <definedName name="기능시험" hidden="1">{#N/A,#N/A,FALSE,"단축1";#N/A,#N/A,FALSE,"단축2";#N/A,#N/A,FALSE,"단축3";#N/A,#N/A,FALSE,"장축";#N/A,#N/A,FALSE,"4WD"}</definedName>
    <definedName name="기능직">BlankMacro1</definedName>
    <definedName name="기록읽기">"Rectangle 62"</definedName>
    <definedName name="기본" hidden="1">{#N/A,#N/A,FALSE,"단축1";#N/A,#N/A,FALSE,"단축2";#N/A,#N/A,FALSE,"단축3";#N/A,#N/A,FALSE,"장축";#N/A,#N/A,FALSE,"4WD"}</definedName>
    <definedName name="기술개발">#REF!</definedName>
    <definedName name="기아" hidden="1">{#N/A,#N/A,FALSE,"단축1";#N/A,#N/A,FALSE,"단축2";#N/A,#N/A,FALSE,"단축3";#N/A,#N/A,FALSE,"장축";#N/A,#N/A,FALSE,"4WD"}</definedName>
    <definedName name="기아단가">89064</definedName>
    <definedName name="기안2">#REF!</definedName>
    <definedName name="기안3">#REF!</definedName>
    <definedName name="기안4">#REF!</definedName>
    <definedName name="기안갑">#REF!</definedName>
    <definedName name="기안갑1">#N/A</definedName>
    <definedName name="기안갑다시">#REF!</definedName>
    <definedName name="기안갑마">#REF!</definedName>
    <definedName name="기안용지">#REF!</definedName>
    <definedName name="기안용지2">#REF!</definedName>
    <definedName name="기안을">#REF!</definedName>
    <definedName name="기안을1">#N/A</definedName>
    <definedName name="기업이윤">0.12</definedName>
    <definedName name="기존차" hidden="1">{#N/A,#N/A,FALSE,"단축1";#N/A,#N/A,FALSE,"단축2";#N/A,#N/A,FALSE,"단축3";#N/A,#N/A,FALSE,"장축";#N/A,#N/A,FALSE,"4WD"}</definedName>
    <definedName name="기존차문제점">#REF!</definedName>
    <definedName name="기획실">#REF!</definedName>
    <definedName name="기획예산">#REF!</definedName>
    <definedName name="김" hidden="1">{#N/A,#N/A,TRUE,"Y생산";#N/A,#N/A,TRUE,"Y판매";#N/A,#N/A,TRUE,"Y총물량";#N/A,#N/A,TRUE,"Y능력";#N/A,#N/A,TRUE,"YKD"}</definedName>
    <definedName name="김도윤" hidden="1">{#N/A,#N/A,TRUE,"Y생산";#N/A,#N/A,TRUE,"Y판매";#N/A,#N/A,TRUE,"Y총물량";#N/A,#N/A,TRUE,"Y능력";#N/A,#N/A,TRUE,"YKD"}</definedName>
    <definedName name="김돌" hidden="1">{#N/A,#N/A,TRUE,"Y생산";#N/A,#N/A,TRUE,"Y판매";#N/A,#N/A,TRUE,"Y총물량";#N/A,#N/A,TRUE,"Y능력";#N/A,#N/A,TRUE,"YKD"}</definedName>
    <definedName name="김동탁" hidden="1">{#N/A,#N/A,FALSE,"단축1";#N/A,#N/A,FALSE,"단축2";#N/A,#N/A,FALSE,"단축3";#N/A,#N/A,FALSE,"장축";#N/A,#N/A,FALSE,"4WD"}</definedName>
    <definedName name="김명근">#REF!</definedName>
    <definedName name="김베" hidden="1">{#N/A,#N/A,FALSE,"단축1";#N/A,#N/A,FALSE,"단축2";#N/A,#N/A,FALSE,"단축3";#N/A,#N/A,FALSE,"장축";#N/A,#N/A,FALSE,"4WD"}</definedName>
    <definedName name="김석빈" hidden="1">{#N/A,#N/A,FALSE,"단축1";#N/A,#N/A,FALSE,"단축2";#N/A,#N/A,FALSE,"단축3";#N/A,#N/A,FALSE,"장축";#N/A,#N/A,FALSE,"4WD"}</definedName>
    <definedName name="ㄲ" hidden="1">{#N/A,#N/A,FALSE,"단축1";#N/A,#N/A,FALSE,"단축2";#N/A,#N/A,FALSE,"단축3";#N/A,#N/A,FALSE,"장축";#N/A,#N/A,FALSE,"4WD"}</definedName>
    <definedName name="ㄳ곳ㄱ">#REF!</definedName>
    <definedName name="ㄴㄴ" hidden="1">{#N/A,#N/A,FALSE,"단축1";#N/A,#N/A,FALSE,"단축2";#N/A,#N/A,FALSE,"단축3";#N/A,#N/A,FALSE,"장축";#N/A,#N/A,FALSE,"4WD"}</definedName>
    <definedName name="ㄴㄴㄴ">BlankMacro1</definedName>
    <definedName name="ㄴㄴㄴㄴ">BlankMacro1</definedName>
    <definedName name="ㄴㄴㄴㅇㄹㄹ">BlankMacro1</definedName>
    <definedName name="ㄴㄹ" hidden="1">{#N/A,#N/A,FALSE,"단축1";#N/A,#N/A,FALSE,"단축2";#N/A,#N/A,FALSE,"단축3";#N/A,#N/A,FALSE,"장축";#N/A,#N/A,FALSE,"4WD"}</definedName>
    <definedName name="ㄴㄹㄴ">BlankMacro1</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ㅇ">#REF!</definedName>
    <definedName name="ㄴㄹㅇㄹ">#REF!</definedName>
    <definedName name="ㄴㄻㄴ" hidden="1">{#N/A,#N/A,FALSE,"AG";#N/A,#N/A,FALSE,"GB-I";#N/A,#N/A,FALSE,"GB--SR_K";#N/A,#N/A,FALSE,"GB-SR_B";#N/A,#N/A,FALSE,"GB-KS";#N/A,#N/A,FALSE,"Kammerer";#N/A,#N/A,FALSE,"Kienzle"}</definedName>
    <definedName name="ㄴㅀㅇㄶㅇ">#REF!</definedName>
    <definedName name="ㄴㅁㄹ" hidden="1">{#N/A,#N/A,FALSE,"단축1";#N/A,#N/A,FALSE,"단축2";#N/A,#N/A,FALSE,"단축3";#N/A,#N/A,FALSE,"장축";#N/A,#N/A,FALSE,"4WD"}</definedName>
    <definedName name="ㄴㅁㄻ">#REF!</definedName>
    <definedName name="ㄴㅁㅁ">#REF!</definedName>
    <definedName name="ㄴㅁㅇㄹ">{"XLSHEET.XLA"}</definedName>
    <definedName name="ㄴㅁㅇㅎㅇ롱로" hidden="1">#REF!</definedName>
    <definedName name="ㄴ미ㅓㄹ">#REF!</definedName>
    <definedName name="ㄴㅇ" hidden="1">{#N/A,#N/A,TRUE,"Y생산";#N/A,#N/A,TRUE,"Y판매";#N/A,#N/A,TRUE,"Y총물량";#N/A,#N/A,TRUE,"Y능력";#N/A,#N/A,TRUE,"YKD"}</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{#N/A,#N/A,TRUE,"Y생산";#N/A,#N/A,TRUE,"Y판매";#N/A,#N/A,TRUE,"Y총물량";#N/A,#N/A,TRUE,"Y능력";#N/A,#N/A,TRUE,"YKD"}</definedName>
    <definedName name="ㄴㅇㄻㄴ" hidden="1">{#N/A,#N/A,FALSE,"Status";#N/A,#N/A,FALSE,"Deckblatt 1";#N/A,#N/A,FALSE,"Deckblatt2"}</definedName>
    <definedName name="ㄴㅇㅀㄱ">#REF!</definedName>
    <definedName name="ㄴㅇㅇㅇ">BlankMacro1</definedName>
    <definedName name="ㄴㅇㅎㅀ">#REF!</definedName>
    <definedName name="ㄴ안">#REF!</definedName>
    <definedName name="ㄴㅋ" hidden="1">{#N/A,#N/A,FALSE,"단축1";#N/A,#N/A,FALSE,"단축2";#N/A,#N/A,FALSE,"단축3";#N/A,#N/A,FALSE,"장축";#N/A,#N/A,FALSE,"4WD"}</definedName>
    <definedName name="나" hidden="1">{#N/A,#N/A,FALSE,"전제";#N/A,#N/A,FALSE,"표지";#N/A,#N/A,FALSE,"6D16";#N/A,#N/A,FALSE,"6D22";#N/A,#N/A,FALSE,"6D22-T";#N/A,#N/A,FALSE,"Q-DEG";#N/A,#N/A,FALSE,"총손";#N/A,#N/A,FALSE,"대당";#N/A,#N/A,FALSE,"가공비"}</definedName>
    <definedName name="나다" hidden="1">{#N/A,#N/A,FALSE,"품의서";#N/A,#N/A,FALSE,"전제";#N/A,#N/A,FALSE,"총손";#N/A,#N/A,FALSE,"손익"}</definedName>
    <definedName name="나라">#REF!</definedName>
    <definedName name="나현상">#REF!</definedName>
    <definedName name="남영환">#REF!</definedName>
    <definedName name="납입">#N/A</definedName>
    <definedName name="납입장소">#N/A</definedName>
    <definedName name="납품보고">#REF!</definedName>
    <definedName name="너" hidden="1">{#N/A,#N/A,FALSE,"전제";#N/A,#N/A,FALSE,"표지";#N/A,#N/A,FALSE,"6D16";#N/A,#N/A,FALSE,"6D22";#N/A,#N/A,FALSE,"6D22-T";#N/A,#N/A,FALSE,"Q-DEG";#N/A,#N/A,FALSE,"총손";#N/A,#N/A,FALSE,"대당";#N/A,#N/A,FALSE,"가공비"}</definedName>
    <definedName name="너너너">#REF!</definedName>
    <definedName name="네델란드">#REF!</definedName>
    <definedName name="네환율">#REF!</definedName>
    <definedName name="노철환">#REF!</definedName>
    <definedName name="노환율">#REF!</definedName>
    <definedName name="누계">#REF!</definedName>
    <definedName name="누계_종합">#REF!</definedName>
    <definedName name="누리" hidden="1">{#N/A,#N/A,TRUE,"Y생산";#N/A,#N/A,TRUE,"Y판매";#N/A,#N/A,TRUE,"Y총물량";#N/A,#N/A,TRUE,"Y능력";#N/A,#N/A,TRUE,"YKD"}</definedName>
    <definedName name="닝잉" hidden="1">{#N/A,#N/A,TRUE,"Y생산";#N/A,#N/A,TRUE,"Y판매";#N/A,#N/A,TRUE,"Y총물량";#N/A,#N/A,TRUE,"Y능력";#N/A,#N/A,TRUE,"YKD"}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ㄳ" hidden="1">{#N/A,#N/A,FALSE,"단축1";#N/A,#N/A,FALSE,"단축2";#N/A,#N/A,FALSE,"단축3";#N/A,#N/A,FALSE,"장축";#N/A,#N/A,FALSE,"4WD"}</definedName>
    <definedName name="ㄷㄳㄱㄴ">#REF!</definedName>
    <definedName name="ㄷㄴㅊ투ㅠ" hidden="1">{#N/A,#N/A,FALSE,"96 3월물량표";#N/A,#N/A,FALSE,"96 4월물량표";#N/A,#N/A,FALSE,"96 5월물량표"}</definedName>
    <definedName name="ㄷㄷ" hidden="1">{#N/A,#N/A,FALSE,"단축1";#N/A,#N/A,FALSE,"단축2";#N/A,#N/A,FALSE,"단축3";#N/A,#N/A,FALSE,"장축";#N/A,#N/A,FALSE,"4WD"}</definedName>
    <definedName name="ㄷㄷㄷ" hidden="1">{#N/A,#N/A,FALSE,"단축1";#N/A,#N/A,FALSE,"단축2";#N/A,#N/A,FALSE,"단축3";#N/A,#N/A,FALSE,"장축";#N/A,#N/A,FALSE,"4WD"}</definedName>
    <definedName name="ㄷㄷㄷㄷ">BlankMacro1</definedName>
    <definedName name="ㄷㄷㄹㄷㄹ">#N/A</definedName>
    <definedName name="ㄷㄹ">#REF!</definedName>
    <definedName name="ㄷㅇ" hidden="1">{#N/A,#N/A,TRUE,"Y생산";#N/A,#N/A,TRUE,"Y판매";#N/A,#N/A,TRUE,"Y총물량";#N/A,#N/A,TRUE,"Y능력";#N/A,#N/A,TRUE,"YKD"}</definedName>
    <definedName name="ㄷㅇㄹ">#REF!</definedName>
    <definedName name="다">#REF!</definedName>
    <definedName name="다대1">#REF!</definedName>
    <definedName name="다시" hidden="1">{#N/A,#N/A,TRUE,"Y생산";#N/A,#N/A,TRUE,"Y판매";#N/A,#N/A,TRUE,"Y총물량";#N/A,#N/A,TRUE,"Y능력";#N/A,#N/A,TRUE,"YKD"}</definedName>
    <definedName name="다시사" hidden="1">{#N/A,#N/A,TRUE,"Y생산";#N/A,#N/A,TRUE,"Y판매";#N/A,#N/A,TRUE,"Y총물량";#N/A,#N/A,TRUE,"Y능력";#N/A,#N/A,TRUE,"YKD"}</definedName>
    <definedName name="다음" hidden="1">{#N/A,#N/A,FALSE,"단축1";#N/A,#N/A,FALSE,"단축2";#N/A,#N/A,FALSE,"단축3";#N/A,#N/A,FALSE,"장축";#N/A,#N/A,FALSE,"4WD"}</definedName>
    <definedName name="단가기준" hidden="1">{#N/A,#N/A,TRUE,"Y생산";#N/A,#N/A,TRUE,"Y판매";#N/A,#N/A,TRUE,"Y총물량";#N/A,#N/A,TRUE,"Y능력";#N/A,#N/A,TRUE,"YKD"}</definedName>
    <definedName name="段階">#N/A</definedName>
    <definedName name="단계별일정">#REF!</definedName>
    <definedName name="단기" hidden="1">{#N/A,#N/A,TRUE,"Y생산";#N/A,#N/A,TRUE,"Y판매";#N/A,#N/A,TRUE,"Y총물량";#N/A,#N/A,TRUE,"Y능력";#N/A,#N/A,TRUE,"YKD"}</definedName>
    <definedName name="단기대여금" hidden="1">{#N/A,#N/A,TRUE,"Y생산";#N/A,#N/A,TRUE,"Y판매";#N/A,#N/A,TRUE,"Y총물량";#N/A,#N/A,TRUE,"Y능력";#N/A,#N/A,TRUE,"YKD"}</definedName>
    <definedName name="단위">1000</definedName>
    <definedName name="單位阡원_阡￥">#REF!</definedName>
    <definedName name="단조편성표" hidden="1">{#N/A,#N/A,FALSE,"단축1";#N/A,#N/A,FALSE,"단축2";#N/A,#N/A,FALSE,"단축3";#N/A,#N/A,FALSE,"장축";#N/A,#N/A,FALSE,"4WD"}</definedName>
    <definedName name="담">#REF!</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대4" hidden="1">{#N/A,#N/A,FALSE,"전제";#N/A,#N/A,FALSE,"표지";#N/A,#N/A,FALSE,"6D16";#N/A,#N/A,FALSE,"6D22";#N/A,#N/A,FALSE,"6D22-T";#N/A,#N/A,FALSE,"Q-DEG";#N/A,#N/A,FALSE,"총손";#N/A,#N/A,FALSE,"대당";#N/A,#N/A,FALSE,"가공비"}</definedName>
    <definedName name="대5" hidden="1">{#N/A,#N/A,FALSE,"표지";#N/A,#N/A,FALSE,"전제";#N/A,#N/A,FALSE,"대당";#N/A,#N/A,FALSE,"가공비";#N/A,#N/A,FALSE,"재료비";#N/A,#N/A,FALSE,"손익"}</definedName>
    <definedName name="대6" hidden="1">{#N/A,#N/A,FALSE,"품의서";#N/A,#N/A,FALSE,"전제";#N/A,#N/A,FALSE,"총손";#N/A,#N/A,FALSE,"손익"}</definedName>
    <definedName name="대당광고비">1200</definedName>
    <definedName name="대당인센티브">1729.85</definedName>
    <definedName name="대방총괄" hidden="1">{#N/A,#N/A,FALSE,"단축1";#N/A,#N/A,FALSE,"단축2";#N/A,#N/A,FALSE,"단축3";#N/A,#N/A,FALSE,"장축";#N/A,#N/A,FALSE,"4WD"}</definedName>
    <definedName name="대부" hidden="1">{#N/A,#N/A,FALSE,"단축1";#N/A,#N/A,FALSE,"단축2";#N/A,#N/A,FALSE,"단축3";#N/A,#N/A,FALSE,"장축";#N/A,#N/A,FALSE,"4WD"}</definedName>
    <definedName name="대상" hidden="1">{#N/A,#N/A,FALSE,"품의서";#N/A,#N/A,FALSE,"전제";#N/A,#N/A,FALSE,"총손";#N/A,#N/A,FALSE,"손익"}</definedName>
    <definedName name="대상전기" hidden="1">{#N/A,#N/A,FALSE,"품의서";#N/A,#N/A,FALSE,"전제";#N/A,#N/A,FALSE,"총손";#N/A,#N/A,FALSE,"손익";#N/A,#N/A,FALSE,"대당";#N/A,#N/A,FALSE,"가공비";#N/A,#N/A,FALSE,"재료비";#N/A,#N/A,FALSE,"판비";#N/A,#N/A,FALSE,"가격"}</definedName>
    <definedName name="대섭">#REF!</definedName>
    <definedName name="대책">{"XLSHEET.XLA"}</definedName>
    <definedName name="대책서" hidden="1">{#N/A,#N/A,FALSE,"단축1";#N/A,#N/A,FALSE,"단축2";#N/A,#N/A,FALSE,"단축3";#N/A,#N/A,FALSE,"장축";#N/A,#N/A,FALSE,"4WD"}</definedName>
    <definedName name="대환율">#REF!</definedName>
    <definedName name="대회">#REF!</definedName>
    <definedName name="뎌768" hidden="1">{#N/A,#N/A,FALSE,"단축1";#N/A,#N/A,FALSE,"단축2";#N/A,#N/A,FALSE,"단축3";#N/A,#N/A,FALSE,"장축";#N/A,#N/A,FALSE,"4WD"}</definedName>
    <definedName name="도면">#REF!</definedName>
    <definedName name="도장" hidden="1">{#N/A,#N/A,TRUE,"Y생산";#N/A,#N/A,TRUE,"Y판매";#N/A,#N/A,TRUE,"Y총물량";#N/A,#N/A,TRUE,"Y능력";#N/A,#N/A,TRUE,"YKD"}</definedName>
    <definedName name="도형이름">#REF!</definedName>
    <definedName name="독일" hidden="1">{#N/A,#N/A,TRUE,"Y생산";#N/A,#N/A,TRUE,"Y판매";#N/A,#N/A,TRUE,"Y총물량";#N/A,#N/A,TRUE,"Y능력";#N/A,#N/A,TRUE,"YKD"}</definedName>
    <definedName name="독환율">#REF!</definedName>
    <definedName name="돌" hidden="1">{#N/A,#N/A,FALSE,"단축1";#N/A,#N/A,FALSE,"단축2";#N/A,#N/A,FALSE,"단축3";#N/A,#N/A,FALSE,"장축";#N/A,#N/A,FALSE,"4WD"}</definedName>
    <definedName name="동력성능1" hidden="1">{#N/A,#N/A,FALSE,"단축1";#N/A,#N/A,FALSE,"단축2";#N/A,#N/A,FALSE,"단축3";#N/A,#N/A,FALSE,"장축";#N/A,#N/A,FALSE,"4WD"}</definedName>
    <definedName name="동일">#REF!</definedName>
    <definedName name="등급">#REF!</definedName>
    <definedName name="디젤1" hidden="1">{#N/A,#N/A,FALSE,"단축1";#N/A,#N/A,FALSE,"단축2";#N/A,#N/A,FALSE,"단축3";#N/A,#N/A,FALSE,"장축";#N/A,#N/A,FALSE,"4WD"}</definedName>
    <definedName name="디젤엔진개발실">#REF!</definedName>
    <definedName name="디ㅣ낭" hidden="1">{#N/A,#N/A,TRUE,"Y생산";#N/A,#N/A,TRUE,"Y판매";#N/A,#N/A,TRUE,"Y총물량";#N/A,#N/A,TRUE,"Y능력";#N/A,#N/A,TRUE,"YKD"}</definedName>
    <definedName name="ㄸ" hidden="1">{#N/A,#N/A,FALSE,"단축1";#N/A,#N/A,FALSE,"단축2";#N/A,#N/A,FALSE,"단축3";#N/A,#N/A,FALSE,"장축";#N/A,#N/A,FALSE,"4WD"}</definedName>
    <definedName name="ㄹ" hidden="1">{#N/A,#N/A,TRUE,"Y생산";#N/A,#N/A,TRUE,"Y판매";#N/A,#N/A,TRUE,"Y총물량";#N/A,#N/A,TRUE,"Y능력";#N/A,#N/A,TRUE,"YKD"}</definedName>
    <definedName name="ㄹ71">#REF!</definedName>
    <definedName name="ㄹㄴㅇㄴ">#REF!</definedName>
    <definedName name="ㄹㄷㄹ" hidden="1">{#N/A,#N/A,FALSE,"단축1";#N/A,#N/A,FALSE,"단축2";#N/A,#N/A,FALSE,"단축3";#N/A,#N/A,FALSE,"장축";#N/A,#N/A,FALSE,"4WD"}</definedName>
    <definedName name="ㄹㄷㅇ">#REF!</definedName>
    <definedName name="ㄹㄹ">#REF!</definedName>
    <definedName name="ㄹㄹㄴ" hidden="1">{#N/A,#N/A,FALSE,"단축1";#N/A,#N/A,FALSE,"단축2";#N/A,#N/A,FALSE,"단축3";#N/A,#N/A,FALSE,"장축";#N/A,#N/A,FALSE,"4WD"}</definedName>
    <definedName name="ㄹ류ㅠㅠ" hidden="1">{#N/A,#N/A,FALSE,"단축1";#N/A,#N/A,FALSE,"단축2";#N/A,#N/A,FALSE,"단축3";#N/A,#N/A,FALSE,"장축";#N/A,#N/A,FALSE,"4WD"}</definedName>
    <definedName name="ㄹㅇ" hidden="1">{#N/A,#N/A,TRUE,"Y생산";#N/A,#N/A,TRUE,"Y판매";#N/A,#N/A,TRUE,"Y총물량";#N/A,#N/A,TRUE,"Y능력";#N/A,#N/A,TRUE,"YKD"}</definedName>
    <definedName name="ㄹㅇㄴㄷㄹ" hidden="1">{#N/A,#N/A,FALSE,"단축1";#N/A,#N/A,FALSE,"단축2";#N/A,#N/A,FALSE,"단축3";#N/A,#N/A,FALSE,"장축";#N/A,#N/A,FALSE,"4WD"}</definedName>
    <definedName name="ㄹㅇㄶ">#REF!</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ㅇ호">#REF!</definedName>
    <definedName name="ㄹ어ㅓ럴" hidden="1">{#N/A,#N/A,FALSE,"단축1";#N/A,#N/A,FALSE,"단축2";#N/A,#N/A,FALSE,"단축3";#N/A,#N/A,FALSE,"장축";#N/A,#N/A,FALSE,"4WD"}</definedName>
    <definedName name="ㄹ호" hidden="1">{#N/A,#N/A,FALSE,"단축1";#N/A,#N/A,FALSE,"단축2";#N/A,#N/A,FALSE,"단축3";#N/A,#N/A,FALSE,"장축";#N/A,#N/A,FALSE,"4WD"}</definedName>
    <definedName name="ㄹ히" hidden="1">{#N/A,#N/A,TRUE,"Y생산";#N/A,#N/A,TRUE,"Y판매";#N/A,#N/A,TRUE,"Y총물량";#N/A,#N/A,TRUE,"Y능력";#N/A,#N/A,TRUE,"YKD"}</definedName>
    <definedName name="라">#REF!</definedName>
    <definedName name="라인외연장">BlankMacro1</definedName>
    <definedName name="라ㅓㄴㄹㅎ" hidden="1">{#N/A,#N/A,FALSE,"단축1";#N/A,#N/A,FALSE,"단축2";#N/A,#N/A,FALSE,"단축3";#N/A,#N/A,FALSE,"장축";#N/A,#N/A,FALSE,"4WD"}</definedName>
    <definedName name="러시아" hidden="1">{#N/A,#N/A,FALSE,"단축1";#N/A,#N/A,FALSE,"단축2";#N/A,#N/A,FALSE,"단축3";#N/A,#N/A,FALSE,"장축";#N/A,#N/A,FALSE,"4WD"}</definedName>
    <definedName name="로">BlankMacro1</definedName>
    <definedName name="로커커버" hidden="1">{#N/A,#N/A,FALSE,"단축1";#N/A,#N/A,FALSE,"단축2";#N/A,#N/A,FALSE,"단축3";#N/A,#N/A,FALSE,"장축";#N/A,#N/A,FALSE,"4WD"}</definedName>
    <definedName name="룰라">#REF!</definedName>
    <definedName name="류" hidden="1">{#N/A,#N/A,TRUE,"Y생산";#N/A,#N/A,TRUE,"Y판매";#N/A,#N/A,TRUE,"Y총물량";#N/A,#N/A,TRUE,"Y능력";#N/A,#N/A,TRUE,"YKD"}</definedName>
    <definedName name="리" hidden="1">{#N/A,#N/A,FALSE,"단축1";#N/A,#N/A,FALSE,"단축2";#N/A,#N/A,FALSE,"단축3";#N/A,#N/A,FALSE,"장축";#N/A,#N/A,FALSE,"4WD"}</definedName>
    <definedName name="ㄺㅅ" hidden="1">{#N/A,#N/A,FALSE,"단축1";#N/A,#N/A,FALSE,"단축2";#N/A,#N/A,FALSE,"단축3";#N/A,#N/A,FALSE,"장축";#N/A,#N/A,FALSE,"4WD"}</definedName>
    <definedName name="ㅀㅀ">BlankMacro1</definedName>
    <definedName name="ㅀㅎ">#REF!</definedName>
    <definedName name="ㅀㅎㄷㄹ" hidden="1" xml:space="preserve">{TRUE,TRUE,-0.8,-17,963.6,637.8,FALSE,TRUE,TRUE,TRUE,0,1,#N/A,1,#N/A,18.0487804878049,42.7727272727273,1,FALSE,FALSE,3,TRUE,1,FALSE,100,"Swvu.Screen.","ACwvu.Screen.",#N/A,FALSE,FALSE,0.78740157480315,0.393700787401575,0.984251968503937,0.984251968503937,1,"","&amp;RH.Lehmhaus_x000d_
VV54TQ_x000d_
&amp;D",TRUE,TRUE,FALSE,FALSE,1,#N/A,1,1,"=R1C1:R67C11",FALSE,#N/A,#N/A,FALSE,FALSE,FALSE,9,300,300,FALSE,FALSE,TRUE,TRUE,TRUE}</definedName>
    <definedName name="ㅁ" hidden="1">{#N/A,#N/A,TRUE,"Y생산";#N/A,#N/A,TRUE,"Y판매";#N/A,#N/A,TRUE,"Y총물량";#N/A,#N/A,TRUE,"Y능력";#N/A,#N/A,TRUE,"YKD"}</definedName>
    <definedName name="ㅁ01">#REF!</definedName>
    <definedName name="ㅁ1">#REF!</definedName>
    <definedName name="ㅁ1430">#REF!</definedName>
    <definedName name="ㅁ169">#REF!</definedName>
    <definedName name="ㅁ1799">#REF!</definedName>
    <definedName name="ㅁ6">#REF!</definedName>
    <definedName name="ㅁddd">#REF!</definedName>
    <definedName name="ㅁㄴㄴㅁ"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hidden="1">{#N/A,#N/A,TRUE,"Y생산";#N/A,#N/A,TRUE,"Y판매";#N/A,#N/A,TRUE,"Y총물량";#N/A,#N/A,TRUE,"Y능력";#N/A,#N/A,TRUE,"YKD"}</definedName>
    <definedName name="ㅁㄴㅇ" hidden="1">{#N/A,#N/A,FALSE,"단축1";#N/A,#N/A,FALSE,"단축2";#N/A,#N/A,FALSE,"단축3";#N/A,#N/A,FALSE,"장축";#N/A,#N/A,FALSE,"4WD"}</definedName>
    <definedName name="ㅁㄴㅇㄱ">#REF!</definedName>
    <definedName name="ㅁㄴㅇㄴㅇㄹㄴㅇ" hidden="1">{#N/A,#N/A,FALSE,"단축1";#N/A,#N/A,FALSE,"단축2";#N/A,#N/A,FALSE,"단축3";#N/A,#N/A,FALSE,"장축";#N/A,#N/A,FALSE,"4WD"}</definedName>
    <definedName name="ㅁㄴㅇㄹ" hidden="1">{#N/A,#N/A,TRUE,"Y생산";#N/A,#N/A,TRUE,"Y판매";#N/A,#N/A,TRUE,"Y총물량";#N/A,#N/A,TRUE,"Y능력";#N/A,#N/A,TRUE,"YKD"}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ㄴㅇ" hidden="1">{#N/A,#N/A,FALSE,"단축1";#N/A,#N/A,FALSE,"단축2";#N/A,#N/A,FALSE,"단축3";#N/A,#N/A,FALSE,"장축";#N/A,#N/A,FALSE,"4WD"}</definedName>
    <definedName name="ㅁㄷㅁㅈ"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#REF!</definedName>
    <definedName name="ㅁㅁㄹ">#REF!</definedName>
    <definedName name="ㅁㅁㅁ">BlankMacro1</definedName>
    <definedName name="ㅁㅁㅁㅁ">BlankMacro1</definedName>
    <definedName name="ㅁㅁㅁㅁㅁ">#REF!</definedName>
    <definedName name="ㅁㅁㅁㅁㅁㅁㅁㅁㅁㅁㅁㅁㅁㅁ" hidden="1">{#N/A,#N/A,FALSE,"단축1";#N/A,#N/A,FALSE,"단축2";#N/A,#N/A,FALSE,"단축3";#N/A,#N/A,FALSE,"장축";#N/A,#N/A,FALSE,"4WD"}</definedName>
    <definedName name="ㅁㅁㅁㅇ" hidden="1">{#N/A,#N/A,FALSE,"단축1";#N/A,#N/A,FALSE,"단축2";#N/A,#N/A,FALSE,"단축3";#N/A,#N/A,FALSE,"장축";#N/A,#N/A,FALSE,"4WD"}</definedName>
    <definedName name="ㅁㅇ" hidden="1">{#N/A,#N/A,TRUE,"Y생산";#N/A,#N/A,TRUE,"Y판매";#N/A,#N/A,TRUE,"Y총물량";#N/A,#N/A,TRUE,"Y능력";#N/A,#N/A,TRUE,"YKD"}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마" hidden="1">{#N/A,#N/A,FALSE,"96 3월물량표";#N/A,#N/A,FALSE,"96 4월물량표";#N/A,#N/A,FALSE,"96 5월물량표"}</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감자료2">BlankMacro1</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자">BlankMacro1</definedName>
    <definedName name="만">#REF!</definedName>
    <definedName name="매">#REF!</definedName>
    <definedName name="매입">BlankMacro1</definedName>
    <definedName name="매입94">#REF!</definedName>
    <definedName name="매입95">#REF!</definedName>
    <definedName name="매입96">#REF!</definedName>
    <definedName name="매입97">#REF!</definedName>
    <definedName name="맨니">#REF!</definedName>
    <definedName name="머">#REF!</definedName>
    <definedName name="모" hidden="1">{#N/A,#N/A,TRUE,"Y생산";#N/A,#N/A,TRUE,"Y판매";#N/A,#N/A,TRUE,"Y총물량";#N/A,#N/A,TRUE,"Y능력";#N/A,#N/A,TRUE,"YKD"}</definedName>
    <definedName name="목차" hidden="1">{#N/A,#N/A,FALSE,"단축1";#N/A,#N/A,FALSE,"단축2";#N/A,#N/A,FALSE,"단축3";#N/A,#N/A,FALSE,"장축";#N/A,#N/A,FALSE,"4WD"}</definedName>
    <definedName name="목차1">#REF!</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#REF!</definedName>
    <definedName name="무빙">#REF!</definedName>
    <definedName name="무빙.문">#REF!</definedName>
    <definedName name="무빙1">#REF!</definedName>
    <definedName name="무빙로보트현황" hidden="1">{#N/A,#N/A,FALSE,"단축1";#N/A,#N/A,FALSE,"단축2";#N/A,#N/A,FALSE,"단축3";#N/A,#N/A,FALSE,"장축";#N/A,#N/A,FALSE,"4WD"}</definedName>
    <definedName name="무빙문제">#REF!</definedName>
    <definedName name="무빙이">#REF!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ㅊ">#REF!</definedName>
    <definedName name="미">#REF!</definedName>
    <definedName name="미입고">#REF!</definedName>
    <definedName name="미환율">#REF!</definedName>
    <definedName name="민">#REF!</definedName>
    <definedName name="밋션별">#REF!</definedName>
    <definedName name="ㅂ" hidden="1">{#N/A,#N/A,TRUE,"Y생산";#N/A,#N/A,TRUE,"Y판매";#N/A,#N/A,TRUE,"Y총물량";#N/A,#N/A,TRUE,"Y능력";#N/A,#N/A,TRUE,"YKD"}</definedName>
    <definedName name="ㅂㅂ" hidden="1">{#N/A,#N/A,FALSE,"단축1";#N/A,#N/A,FALSE,"단축2";#N/A,#N/A,FALSE,"단축3";#N/A,#N/A,FALSE,"장축";#N/A,#N/A,FALSE,"4WD"}</definedName>
    <definedName name="ㅂㅂㅂ" hidden="1">{#N/A,#N/A,FALSE,"96 3월물량표";#N/A,#N/A,FALSE,"96 4월물량표";#N/A,#N/A,FALSE,"96 5월물량표"}</definedName>
    <definedName name="ㅂㅂㅂㅂ">BlankMacro1</definedName>
    <definedName name="ㅂㅂㅂㅂㅂㅂ">BlankMacro1</definedName>
    <definedName name="ㅂㅂㅂㅂㅂㅂㅂㅂㅂㅂㅂㅂㅂㅂㅂㅂㅂㅂㅂㅂㅂㅂㅂㅂㅂㅂㅂㅂㅂㅂㅂㅂ" hidden="1">{#N/A,#N/A,FALSE,"단축1";#N/A,#N/A,FALSE,"단축2";#N/A,#N/A,FALSE,"단축3";#N/A,#N/A,FALSE,"장축";#N/A,#N/A,FALSE,"4WD"}</definedName>
    <definedName name="ㅂㅈ" hidden="1">{#N/A,#N/A,FALSE,"단축1";#N/A,#N/A,FALSE,"단축2";#N/A,#N/A,FALSE,"단축3";#N/A,#N/A,FALSE,"장축";#N/A,#N/A,FALSE,"4WD"}</definedName>
    <definedName name="ㅂㅈㄷ" hidden="1">{#N/A,#N/A,FALSE,"단축1";#N/A,#N/A,FALSE,"단축2";#N/A,#N/A,FALSE,"단축3";#N/A,#N/A,FALSE,"장축";#N/A,#N/A,FALSE,"4WD"}</definedName>
    <definedName name="ㅂㅈㄷ22">BlankMacro1</definedName>
    <definedName name="ㅂㅈㄷㅌ">#REF!</definedName>
    <definedName name="ㅂㅈㅇㅇ" hidden="1">{#N/A,#N/A,FALSE,"단축1";#N/A,#N/A,FALSE,"단축2";#N/A,#N/A,FALSE,"단축3";#N/A,#N/A,FALSE,"장축";#N/A,#N/A,FALSE,"4WD"}</definedName>
    <definedName name="바">#REF!</definedName>
    <definedName name="바람발람">#REF!</definedName>
    <definedName name="바로가기" hidden="1">{#N/A,#N/A,FALSE,"단축1";#N/A,#N/A,FALSE,"단축2";#N/A,#N/A,FALSE,"단축3";#N/A,#N/A,FALSE,"장축";#N/A,#N/A,FALSE,"4WD"}</definedName>
    <definedName name="바바라" hidden="1">{#N/A,#N/A,TRUE,"Y생산";#N/A,#N/A,TRUE,"Y판매";#N/A,#N/A,TRUE,"Y총물량";#N/A,#N/A,TRUE,"Y능력";#N/A,#N/A,TRUE,"YKD"}</definedName>
    <definedName name="바보">#REF!</definedName>
    <definedName name="바보야" hidden="1">{#N/A,#N/A,TRUE,"Y생산";#N/A,#N/A,TRUE,"Y판매";#N/A,#N/A,TRUE,"Y총물량";#N/A,#N/A,TRUE,"Y능력";#N/A,#N/A,TRUE,"YKD"}</definedName>
    <definedName name="박" hidden="1">{#N/A,#N/A,FALSE,"신규dep";#N/A,#N/A,FALSE,"신규dep-금형상각후";#N/A,#N/A,FALSE,"신규dep-연구비상각후";#N/A,#N/A,FALSE,"신규dep-기계,공구상각후"}</definedName>
    <definedName name="박기현" hidden="1">{#N/A,#N/A,TRUE,"Y생산";#N/A,#N/A,TRUE,"Y판매";#N/A,#N/A,TRUE,"Y총물량";#N/A,#N/A,TRUE,"Y능력";#N/A,#N/A,TRUE,"YKD"}</definedName>
    <definedName name="박명용" hidden="1">{#N/A,#N/A,TRUE,"Y생산";#N/A,#N/A,TRUE,"Y판매";#N/A,#N/A,TRUE,"Y총물량";#N/A,#N/A,TRUE,"Y능력";#N/A,#N/A,TRUE,"YKD"}</definedName>
    <definedName name="박상">#REF!</definedName>
    <definedName name="박지호" hidden="1">{#N/A,#N/A,FALSE,"단축1";#N/A,#N/A,FALSE,"단축2";#N/A,#N/A,FALSE,"단축3";#N/A,#N/A,FALSE,"장축";#N/A,#N/A,FALSE,"4WD"}</definedName>
    <definedName name="박형식">#REF!</definedName>
    <definedName name="반기매입97">#REF!</definedName>
    <definedName name="반영">#REF!</definedName>
    <definedName name="반영1">#REF!</definedName>
    <definedName name="반영2">#REF!</definedName>
    <definedName name="반영3">#REF!</definedName>
    <definedName name="반영결과">#REF!</definedName>
    <definedName name="반영현황">#REF!</definedName>
    <definedName name="받" hidden="1">{#N/A,#N/A,TRUE,"Y생산";#N/A,#N/A,TRUE,"Y판매";#N/A,#N/A,TRUE,"Y총물량";#N/A,#N/A,TRUE,"Y능력";#N/A,#N/A,TRUE,"YKD"}</definedName>
    <definedName name="발">#REF!</definedName>
    <definedName name="배도호">#REF!,#REF!</definedName>
    <definedName name="백만">1000000</definedName>
    <definedName name="버가" hidden="1">{#N/A,#N/A,FALSE,"96 3월물량표";#N/A,#N/A,FALSE,"96 4월물량표";#N/A,#N/A,FALSE,"96 5월물량표"}</definedName>
    <definedName name="벨환율">#REF!</definedName>
    <definedName name="변경">#REF!</definedName>
    <definedName name="변경1">#REF!</definedName>
    <definedName name="변경목차" hidden="1">{#N/A,#N/A,FALSE,"단축1";#N/A,#N/A,FALSE,"단축2";#N/A,#N/A,FALSE,"단축3";#N/A,#N/A,FALSE,"장축";#N/A,#N/A,FALSE,"4WD"}</definedName>
    <definedName name="변경후" hidden="1">{#N/A,#N/A,FALSE,"단축1";#N/A,#N/A,FALSE,"단축2";#N/A,#N/A,FALSE,"단축3";#N/A,#N/A,FALSE,"장축";#N/A,#N/A,FALSE,"4WD"}</definedName>
    <definedName name="병" hidden="1">{#N/A,#N/A,FALSE,"단축1";#N/A,#N/A,FALSE,"단축2";#N/A,#N/A,FALSE,"단축3";#N/A,#N/A,FALSE,"장축";#N/A,#N/A,FALSE,"4WD"}</definedName>
    <definedName name="병균">#REF!</definedName>
    <definedName name="보고서1" hidden="1">{#N/A,#N/A,FALSE,"단축1";#N/A,#N/A,FALSE,"단축2";#N/A,#N/A,FALSE,"단축3";#N/A,#N/A,FALSE,"장축";#N/A,#N/A,FALSE,"4WD"}</definedName>
    <definedName name="보고용">#REF!,#REF!,#REF!,#REF!,#REF!,#REF!,#REF!,#REF!,#REF!,#REF!,#REF!,#REF!,#REF!</definedName>
    <definedName name="보완">#REF!</definedName>
    <definedName name="복_후_비">#REF!</definedName>
    <definedName name="본문1" hidden="1">{#N/A,#N/A,FALSE,"단축1";#N/A,#N/A,FALSE,"단축2";#N/A,#N/A,FALSE,"단축3";#N/A,#N/A,FALSE,"장축";#N/A,#N/A,FALSE,"4WD"}</definedName>
    <definedName name="볼트수정" hidden="1">{#N/A,#N/A,FALSE,"단축1";#N/A,#N/A,FALSE,"단축2";#N/A,#N/A,FALSE,"단축3";#N/A,#N/A,FALSE,"장축";#N/A,#N/A,FALSE,"4WD"}</definedName>
    <definedName name="부" hidden="1">{#N/A,#N/A,FALSE,"단축1";#N/A,#N/A,FALSE,"단축2";#N/A,#N/A,FALSE,"단축3";#N/A,#N/A,FALSE,"장축";#N/A,#N/A,FALSE,"4WD"}</definedName>
    <definedName name="부가율_1">#REF!</definedName>
    <definedName name="부가율_2">#REF!</definedName>
    <definedName name="부서">#REF!</definedName>
    <definedName name="부서별">#REF!</definedName>
    <definedName name="부서별예산">#REF!</definedName>
    <definedName name="부품자료표">#REF!</definedName>
    <definedName name="부품현황" hidden="1">{#N/A,#N/A,FALSE,"단축1";#N/A,#N/A,FALSE,"단축2";#N/A,#N/A,FALSE,"단축3";#N/A,#N/A,FALSE,"장축";#N/A,#N/A,FALSE,"4WD"}</definedName>
    <definedName name="분">#REF!</definedName>
    <definedName name="분기별" hidden="1">{#N/A,#N/A,TRUE,"Y생산";#N/A,#N/A,TRUE,"Y판매";#N/A,#N/A,TRUE,"Y총물량";#N/A,#N/A,TRUE,"Y능력";#N/A,#N/A,TRUE,"YKD"}</definedName>
    <definedName name="불량재고경비실적" hidden="1">{#N/A,#N/A,TRUE,"Y생산";#N/A,#N/A,TRUE,"Y판매";#N/A,#N/A,TRUE,"Y총물량";#N/A,#N/A,TRUE,"Y능력";#N/A,#N/A,TRUE,"YKD"}</definedName>
    <definedName name="브레이크">#REF!</definedName>
    <definedName name="비겨">#REF!</definedName>
    <definedName name="비교">#REF!</definedName>
    <definedName name="비교111">#REF!</definedName>
    <definedName name="비교A">#REF!</definedName>
    <definedName name="비교차종" hidden="1">{#N/A,#N/A,FALSE,"단축1";#N/A,#N/A,FALSE,"단축2";#N/A,#N/A,FALSE,"단축3";#N/A,#N/A,FALSE,"장축";#N/A,#N/A,FALSE,"4WD"}</definedName>
    <definedName name="빈">#REF!</definedName>
    <definedName name="빈양결과">#REF!</definedName>
    <definedName name="ㅃ" hidden="1">{#N/A,#N/A,FALSE,"단축1";#N/A,#N/A,FALSE,"단축2";#N/A,#N/A,FALSE,"단축3";#N/A,#N/A,FALSE,"장축";#N/A,#N/A,FALSE,"4WD"}</definedName>
    <definedName name="ㅅ" hidden="1">{#N/A,#N/A,TRUE,"Y생산";#N/A,#N/A,TRUE,"Y판매";#N/A,#N/A,TRUE,"Y총물량";#N/A,#N/A,TRUE,"Y능력";#N/A,#N/A,TRUE,"YKD"}</definedName>
    <definedName name="ㅅ교"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ㅅ">#REF!</definedName>
    <definedName name="ㅅㅅㅅ" hidden="1">{#N/A,#N/A,FALSE,"단축1";#N/A,#N/A,FALSE,"단축2";#N/A,#N/A,FALSE,"단축3";#N/A,#N/A,FALSE,"장축";#N/A,#N/A,FALSE,"4WD"}</definedName>
    <definedName name="ㅅㅅㅅㅅ">BlankMacro1</definedName>
    <definedName name="사">#REF!</definedName>
    <definedName name="사고뭉치" hidden="1">{#N/A,#N/A,FALSE,"96 3월물량표";#N/A,#N/A,FALSE,"96 4월물량표";#N/A,#N/A,FALSE,"96 5월물량표"}</definedName>
    <definedName name="사사사">#REF!</definedName>
    <definedName name="사양" hidden="1">{#N/A,#N/A,FALSE,"신규dep";#N/A,#N/A,FALSE,"신규dep-금형상각후";#N/A,#N/A,FALSE,"신규dep-연구비상각후";#N/A,#N/A,FALSE,"신규dep-기계,공구상각후"}</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삼">#REF!</definedName>
    <definedName name="삼성" hidden="1">{#N/A,#N/A,FALSE,"정공"}</definedName>
    <definedName name="상각" hidden="1">{#N/A,#N/A,FALSE,"단축1";#N/A,#N/A,FALSE,"단축2";#N/A,#N/A,FALSE,"단축3";#N/A,#N/A,FALSE,"장축";#N/A,#N/A,FALSE,"4WD"}</definedName>
    <definedName name="상도2" hidden="1">{#N/A,#N/A,FALSE,"단축1";#N/A,#N/A,FALSE,"단축2";#N/A,#N/A,FALSE,"단축3";#N/A,#N/A,FALSE,"장축";#N/A,#N/A,FALSE,"4WD"}</definedName>
    <definedName name="상용">0.19</definedName>
    <definedName name="상품성1" hidden="1">{#N/A,#N/A,FALSE,"단축1";#N/A,#N/A,FALSE,"단축2";#N/A,#N/A,FALSE,"단축3";#N/A,#N/A,FALSE,"장축";#N/A,#N/A,FALSE,"4WD"}</definedName>
    <definedName name="새">#REF!</definedName>
    <definedName name="새로운" hidden="1">{#N/A,#N/A,FALSE,"단축1";#N/A,#N/A,FALSE,"단축2";#N/A,#N/A,FALSE,"단축3";#N/A,#N/A,FALSE,"장축";#N/A,#N/A,FALSE,"4WD"}</definedName>
    <definedName name="새부" hidden="1">{#N/A,#N/A,TRUE,"Y생산";#N/A,#N/A,TRUE,"Y판매";#N/A,#N/A,TRUE,"Y총물량";#N/A,#N/A,TRUE,"Y능력";#N/A,#N/A,TRUE,"YKD"}</definedName>
    <definedName name="새세" hidden="1">{#N/A,#N/A,FALSE,"단축1";#N/A,#N/A,FALSE,"단축2";#N/A,#N/A,FALSE,"단축3";#N/A,#N/A,FALSE,"장축";#N/A,#N/A,FALSE,"4WD"}</definedName>
    <definedName name="새천년" hidden="1">{#N/A,#N/A,TRUE,"Y생산";#N/A,#N/A,TRUE,"Y판매";#N/A,#N/A,TRUE,"Y총물량";#N/A,#N/A,TRUE,"Y능력";#N/A,#N/A,TRUE,"YKD"}</definedName>
    <definedName name="생기양식" hidden="1">{#N/A,#N/A,TRUE,"Y생산";#N/A,#N/A,TRUE,"Y판매";#N/A,#N/A,TRUE,"Y총물량";#N/A,#N/A,TRUE,"Y능력";#N/A,#N/A,TRUE,"YKD"}</definedName>
    <definedName name="생산" hidden="1">{#N/A,#N/A,TRUE,"Y생산";#N/A,#N/A,TRUE,"Y판매";#N/A,#N/A,TRUE,"Y총물량";#N/A,#N/A,TRUE,"Y능력";#N/A,#N/A,TRUE,"YKD"}</definedName>
    <definedName name="생산1" hidden="1">{#N/A,#N/A,FALSE,"96 3월물량표";#N/A,#N/A,FALSE,"96 4월물량표";#N/A,#N/A,FALSE,"96 5월물량표"}</definedName>
    <definedName name="생산TON" hidden="1">{#N/A,#N/A,TRUE,"Y생산";#N/A,#N/A,TRUE,"Y판매";#N/A,#N/A,TRUE,"Y총물량";#N/A,#N/A,TRUE,"Y능력";#N/A,#N/A,TRUE,"YKD"}</definedName>
    <definedName name="생산계획">#REF!</definedName>
    <definedName name="생산계획1">BlankMacro1</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조조직도" hidden="1">{#N/A,#N/A,TRUE,"Y생산";#N/A,#N/A,TRUE,"Y판매";#N/A,#N/A,TRUE,"Y총물량";#N/A,#N/A,TRUE,"Y능력";#N/A,#N/A,TRUE,"YKD"}</definedName>
    <definedName name="샤시.문제">#REF!</definedName>
    <definedName name="샤시Ⅲ">#REF!</definedName>
    <definedName name="샹크">BlankMacro1</definedName>
    <definedName name="서">#REF!</definedName>
    <definedName name="서류">#REF!</definedName>
    <definedName name="서승수" hidden="1">{#N/A,#N/A,TRUE,"Y생산";#N/A,#N/A,TRUE,"Y판매";#N/A,#N/A,TRUE,"Y총물량";#N/A,#N/A,TRUE,"Y능력";#N/A,#N/A,TRUE,"YKD"}</definedName>
    <definedName name="서천" hidden="1">{#N/A,#N/A,FALSE,"표지";#N/A,#N/A,FALSE,"전제";#N/A,#N/A,FALSE,"손익-자 (2)";#N/A,#N/A,FALSE,"손익-자";#N/A,#N/A,FALSE,"손익-마 (2)";#N/A,#N/A,FALSE,"손익-마";#N/A,#N/A,FALSE,"총손최종"}</definedName>
    <definedName name="서천통일관광" hidden="1">{#N/A,#N/A,FALSE,"품의서";#N/A,#N/A,FALSE,"전제";#N/A,#N/A,FALSE,"총손";#N/A,#N/A,FALSE,"손익";#N/A,#N/A,FALSE,"대당";#N/A,#N/A,FALSE,"가공비";#N/A,#N/A,FALSE,"재료비";#N/A,#N/A,FALSE,"판비";#N/A,#N/A,FALSE,"가격"}</definedName>
    <definedName name="석빈" hidden="1">{#N/A,#N/A,FALSE,"단축1";#N/A,#N/A,FALSE,"단축2";#N/A,#N/A,FALSE,"단축3";#N/A,#N/A,FALSE,"장축";#N/A,#N/A,FALSE,"4WD"}</definedName>
    <definedName name="선행시작팀">#REF!</definedName>
    <definedName name="설계_고">#REF!</definedName>
    <definedName name="설계_저">#REF!</definedName>
    <definedName name="설계_중">#REF!</definedName>
    <definedName name="설계fmea요구사항">#REF!</definedName>
    <definedName name="설계팀">#REF!</definedName>
    <definedName name="설변" hidden="1">{#N/A,#N/A,FALSE,"단축1";#N/A,#N/A,FALSE,"단축2";#N/A,#N/A,FALSE,"단축3";#N/A,#N/A,FALSE,"장축";#N/A,#N/A,FALSE,"4WD"}</definedName>
    <definedName name="설변요청" hidden="1">{#N/A,#N/A,FALSE,"단축1";#N/A,#N/A,FALSE,"단축2";#N/A,#N/A,FALSE,"단축3";#N/A,#N/A,FALSE,"장축";#N/A,#N/A,FALSE,"4WD"}</definedName>
    <definedName name="설치일정" hidden="1">{#N/A,#N/A,FALSE,"단축1";#N/A,#N/A,FALSE,"단축2";#N/A,#N/A,FALSE,"단축3";#N/A,#N/A,FALSE,"장축";#N/A,#N/A,FALSE,"4WD"}</definedName>
    <definedName name="성구" hidden="1">{#N/A,#N/A,FALSE,"단축1";#N/A,#N/A,FALSE,"단축2";#N/A,#N/A,FALSE,"단축3";#N/A,#N/A,FALSE,"장축";#N/A,#N/A,FALSE,"4WD"}</definedName>
    <definedName name="성능시험2" hidden="1">{#N/A,#N/A,FALSE,"단축1";#N/A,#N/A,FALSE,"단축2";#N/A,#N/A,FALSE,"단축3";#N/A,#N/A,FALSE,"장축";#N/A,#N/A,FALSE,"4WD"}</definedName>
    <definedName name="성주1">#REF!</definedName>
    <definedName name="성치환">#REF!</definedName>
    <definedName name="세금">#REF!</definedName>
    <definedName name="세금2">#REF!</definedName>
    <definedName name="세부6월" hidden="1">{#N/A,#N/A,FALSE,"단축1";#N/A,#N/A,FALSE,"단축2";#N/A,#N/A,FALSE,"단축3";#N/A,#N/A,FALSE,"장축";#N/A,#N/A,FALSE,"4WD"}</definedName>
    <definedName name="세부LIST2"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洗精">#N/A</definedName>
    <definedName name="세피아축소" hidden="1">{#N/A,#N/A,TRUE,"Y생산";#N/A,#N/A,TRUE,"Y판매";#N/A,#N/A,TRUE,"Y총물량";#N/A,#N/A,TRUE,"Y능력";#N/A,#N/A,TRUE,"YKD"}</definedName>
    <definedName name="셀리카" hidden="1">#REF!</definedName>
    <definedName name="소" hidden="1">{#N/A,#N/A,TRUE,"Y생산";#N/A,#N/A,TRUE,"Y판매";#N/A,#N/A,TRUE,"Y총물량";#N/A,#N/A,TRUE,"Y능력";#N/A,#N/A,TRUE,"YKD"}</definedName>
    <definedName name="小">#REF!</definedName>
    <definedName name="素__材">#N/A</definedName>
    <definedName name="소급적용" hidden="1">{#N/A,#N/A,FALSE,"견적대비-2"}</definedName>
    <definedName name="소물_BRKT_SUB_용접RH">#REF!</definedName>
    <definedName name="소뮨" hidden="1">{#N/A,#N/A,FALSE,"단축1";#N/A,#N/A,FALSE,"단축2";#N/A,#N/A,FALSE,"단축3";#N/A,#N/A,FALSE,"장축";#N/A,#N/A,FALSE,"4WD"}</definedName>
    <definedName name="소요계획">BlankMacro1</definedName>
    <definedName name="소재검토">#REF!</definedName>
    <definedName name="소하">BlankMacro1</definedName>
    <definedName name="소하단가">89064</definedName>
    <definedName name="소하리">BlankMacro1</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#REF!</definedName>
    <definedName name="송" hidden="1">{#N/A,#N/A,TRUE,"Y생산";#N/A,#N/A,TRUE,"Y판매";#N/A,#N/A,TRUE,"Y총물량";#N/A,#N/A,TRUE,"Y능력";#N/A,#N/A,TRUE,"YKD"}</definedName>
    <definedName name="송창기" hidden="1">{#N/A,#N/A,TRUE,"Y생산";#N/A,#N/A,TRUE,"Y판매";#N/A,#N/A,TRUE,"Y총물량";#N/A,#N/A,TRUE,"Y능력";#N/A,#N/A,TRUE,"YKD"}</definedName>
    <definedName name="쇼">#REF!</definedName>
    <definedName name="쇼바2" hidden="1">{#N/A,#N/A,FALSE,"단축1";#N/A,#N/A,FALSE,"단축2";#N/A,#N/A,FALSE,"단축3";#N/A,#N/A,FALSE,"장축";#N/A,#N/A,FALSE,"4WD"}</definedName>
    <definedName name="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hidden="1">{#N/A,#N/A,FALSE,"단축1";#N/A,#N/A,FALSE,"단축2";#N/A,#N/A,FALSE,"단축3";#N/A,#N/A,FALSE,"장축";#N/A,#N/A,FALSE,"4WD"}</definedName>
    <definedName name="쇽">#REF!</definedName>
    <definedName name="수선비세부" hidden="1">#REF!</definedName>
    <definedName name="수익4속" hidden="1">{#N/A,#N/A,FALSE,"단축1";#N/A,#N/A,FALSE,"단축2";#N/A,#N/A,FALSE,"단축3";#N/A,#N/A,FALSE,"장축";#N/A,#N/A,FALSE,"4WD"}</definedName>
    <definedName name="수정물량" hidden="1">{#N/A,#N/A,TRUE,"Y생산";#N/A,#N/A,TRUE,"Y판매";#N/A,#N/A,TRUE,"Y총물량";#N/A,#N/A,TRUE,"Y능력";#N/A,#N/A,TRUE,"YKD"}</definedName>
    <definedName name="수출2">#REF!</definedName>
    <definedName name="수출오더현황12월" hidden="1">{#N/A,#N/A,TRUE,"Y생산";#N/A,#N/A,TRUE,"Y판매";#N/A,#N/A,TRUE,"Y총물량";#N/A,#N/A,TRUE,"Y능력";#N/A,#N/A,TRUE,"YKD"}</definedName>
    <definedName name="수출판촉비총괄" hidden="1">#N/A</definedName>
    <definedName name="순위">#REF!</definedName>
    <definedName name="스크랩">BlankMacro1</definedName>
    <definedName name="스티어">#REF!</definedName>
    <definedName name="스환율">#REF!</definedName>
    <definedName name="스환율2">#REF!</definedName>
    <definedName name="승용">0.17</definedName>
    <definedName name="승용2">#REF!</definedName>
    <definedName name="승인권한2" hidden="1">{#N/A,#N/A,FALSE,"단축1";#N/A,#N/A,FALSE,"단축2";#N/A,#N/A,FALSE,"단축3";#N/A,#N/A,FALSE,"장축";#N/A,#N/A,FALSE,"4WD"}</definedName>
    <definedName name="시간" hidden="1">{#N/A,#N/A,TRUE,"Y생산";#N/A,#N/A,TRUE,"Y판매";#N/A,#N/A,TRUE,"Y총물량";#N/A,#N/A,TRUE,"Y능력";#N/A,#N/A,TRUE,"YKD"}</definedName>
    <definedName name="시급_B">#REF!</definedName>
    <definedName name="시스템">#REF!</definedName>
    <definedName name="시장동향" hidden="1">{#N/A,#N/A,TRUE,"Y생산";#N/A,#N/A,TRUE,"Y판매";#N/A,#N/A,TRUE,"Y총물량";#N/A,#N/A,TRUE,"Y능력";#N/A,#N/A,TRUE,"YKD"}</definedName>
    <definedName name="신12월보고">#REF!</definedName>
    <definedName name="신AT종합" hidden="1">{#N/A,#N/A,FALSE,"단축1";#N/A,#N/A,FALSE,"단축2";#N/A,#N/A,FALSE,"단축3";#N/A,#N/A,FALSE,"장축";#N/A,#N/A,FALSE,"4WD"}</definedName>
    <definedName name="新NO">#N/A</definedName>
    <definedName name="신규" hidden="1">{#N/A,#N/A,FALSE,"신규dep";#N/A,#N/A,FALSE,"신규dep-금형상각후";#N/A,#N/A,FALSE,"신규dep-연구비상각후";#N/A,#N/A,FALSE,"신규dep-기계,공구상각후"}</definedName>
    <definedName name="신기술_신공법" hidden="1">{#N/A,#N/A,FALSE,"단축1";#N/A,#N/A,FALSE,"단축2";#N/A,#N/A,FALSE,"단축3";#N/A,#N/A,FALSE,"장축";#N/A,#N/A,FALSE,"4WD"}</definedName>
    <definedName name="신뢰성세부">#REF!</definedName>
    <definedName name="신세대종합" hidden="1">{#N/A,#N/A,FALSE,"단축1";#N/A,#N/A,FALSE,"단축2";#N/A,#N/A,FALSE,"단축3";#N/A,#N/A,FALSE,"장축";#N/A,#N/A,FALSE,"4WD"}</definedName>
    <definedName name="신양식1">#REF!</definedName>
    <definedName name="신양식2">#REF!</definedName>
    <definedName name="신양식3">#REF!</definedName>
    <definedName name="신양식4">#REF!</definedName>
    <definedName name="신양식5">#REF!</definedName>
    <definedName name="신일정">#REF!</definedName>
    <definedName name="신종기">#REF!</definedName>
    <definedName name="신차팀">#REF!</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#REF!</definedName>
    <definedName name="실사VIN">#REF!</definedName>
    <definedName name="실시" hidden="1">{#N/A,#N/A,FALSE,"단축1";#N/A,#N/A,FALSE,"단축2";#N/A,#N/A,FALSE,"단축3";#N/A,#N/A,FALSE,"장축";#N/A,#N/A,FALSE,"4WD"}</definedName>
    <definedName name="실적">#REF!</definedName>
    <definedName name="실적1">#REF!</definedName>
    <definedName name="실적10">#REF!</definedName>
    <definedName name="실적11">#REF!</definedName>
    <definedName name="실적12">#REF!</definedName>
    <definedName name="실적13">#REF!</definedName>
    <definedName name="실적2">#REF!</definedName>
    <definedName name="실적3">#REF!</definedName>
    <definedName name="실적4">#REF!</definedName>
    <definedName name="실적5">#REF!</definedName>
    <definedName name="실적6">#REF!</definedName>
    <definedName name="실적7">#REF!</definedName>
    <definedName name="실적8">#REF!</definedName>
    <definedName name="실적9">#REF!</definedName>
    <definedName name="실적원" hidden="1">{#N/A,#N/A,TRUE,"Y생산";#N/A,#N/A,TRUE,"Y판매";#N/A,#N/A,TRUE,"Y총물량";#N/A,#N/A,TRUE,"Y능력";#N/A,#N/A,TRUE,"YKD"}</definedName>
    <definedName name="실적집계" hidden="1">{#N/A,#N/A,FALSE,"단축1";#N/A,#N/A,FALSE,"단축2";#N/A,#N/A,FALSE,"단축3";#N/A,#N/A,FALSE,"장축";#N/A,#N/A,FALSE,"4WD"}</definedName>
    <definedName name="심상묵" hidden="1">{#N/A,#N/A,TRUE,"Y생산";#N/A,#N/A,TRUE,"Y판매";#N/A,#N/A,TRUE,"Y총물량";#N/A,#N/A,TRUE,"Y능력";#N/A,#N/A,TRUE,"YKD"}</definedName>
    <definedName name="십이월">#REF!</definedName>
    <definedName name="싱환율">#REF!</definedName>
    <definedName name="싱환율2">#REF!</definedName>
    <definedName name="ㅆ" hidden="1">{#N/A,#N/A,FALSE,"단축1";#N/A,#N/A,FALSE,"단축2";#N/A,#N/A,FALSE,"단축3";#N/A,#N/A,FALSE,"장축";#N/A,#N/A,FALSE,"4WD"}</definedName>
    <definedName name="ㅇ" hidden="1">{#N/A,#N/A,FALSE,"96 3월물량표";#N/A,#N/A,FALSE,"96 4월물량표";#N/A,#N/A,FALSE,"96 5월물량표"}</definedName>
    <definedName name="ㅇGFGFH" hidden="1">{#N/A,#N/A,FALSE,"96 3월물량표";#N/A,#N/A,FALSE,"96 4월물량표";#N/A,#N/A,FALSE,"96 5월물량표"}</definedName>
    <definedName name="ㅇㄱㄷㅎㄴㅇ">#REF!</definedName>
    <definedName name="ㅇㄴㅀㅁ">{"XLSHEET.XLA"}</definedName>
    <definedName name="ㅇㄴㅁㄻㄴㅇㄹㄴㅇㅁ">#REF!</definedName>
    <definedName name="ㅇㄷㄷ" hidden="1">{#N/A,#N/A,TRUE,"Y생산";#N/A,#N/A,TRUE,"Y판매";#N/A,#N/A,TRUE,"Y총물량";#N/A,#N/A,TRUE,"Y능력";#N/A,#N/A,TRUE,"YKD"}</definedName>
    <definedName name="ㅇㄷㅇㄷ">BlankMacro1</definedName>
    <definedName name="ㅇㄹ" hidden="1">{#N/A,#N/A,FALSE,"단축1";#N/A,#N/A,FALSE,"단축2";#N/A,#N/A,FALSE,"단축3";#N/A,#N/A,FALSE,"장축";#N/A,#N/A,FALSE,"4WD"}</definedName>
    <definedName name="ㅇㄹㄴ" hidden="1">{#N/A,#N/A,FALSE,"단축1";#N/A,#N/A,FALSE,"단축2";#N/A,#N/A,FALSE,"단축3";#N/A,#N/A,FALSE,"장축";#N/A,#N/A,FALSE,"4WD"}</definedName>
    <definedName name="ㅇㄹㅇ">#REF!</definedName>
    <definedName name="ㅇ롱" hidden="1">{#N/A,#N/A,FALSE,"단축1";#N/A,#N/A,FALSE,"단축2";#N/A,#N/A,FALSE,"단축3";#N/A,#N/A,FALSE,"장축";#N/A,#N/A,FALSE,"4WD"}</definedName>
    <definedName name="ㅇ롱ㄹ">#REF!</definedName>
    <definedName name="ㅇ롱로">#REF!</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쇼ㅓ">#N/A</definedName>
    <definedName name="ㅇㅇ">#REF!</definedName>
    <definedName name="ㅇㅇㄹㄹ" hidden="1">{#N/A,#N/A,FALSE,"표지";#N/A,#N/A,FALSE,"전제";#N/A,#N/A,FALSE,"손익-자 (2)";#N/A,#N/A,FALSE,"손익-자";#N/A,#N/A,FALSE,"손익-마 (2)";#N/A,#N/A,FALSE,"손익-마";#N/A,#N/A,FALSE,"총손최종"}</definedName>
    <definedName name="ㅇㅇㅇ">BlankMacro1</definedName>
    <definedName name="ㅇㅇㅇㅇ">BlankMacro1</definedName>
    <definedName name="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BlankMacro1</definedName>
    <definedName name="ㅇ아아ㅏ앙" hidden="1">{#N/A,#N/A,TRUE,"Y생산";#N/A,#N/A,TRUE,"Y판매";#N/A,#N/A,TRUE,"Y총물량";#N/A,#N/A,TRUE,"Y능력";#N/A,#N/A,TRUE,"YKD"}</definedName>
    <definedName name="ㅇㅎ" hidden="1">{#N/A,#N/A,FALSE,"단축1";#N/A,#N/A,FALSE,"단축2";#N/A,#N/A,FALSE,"단축3";#N/A,#N/A,FALSE,"장축";#N/A,#N/A,FALSE,"4WD"}</definedName>
    <definedName name="ㅇㅎㄹ" hidden="1">{#N/A,#N/A,TRUE,"Y생산";#N/A,#N/A,TRUE,"Y판매";#N/A,#N/A,TRUE,"Y총물량";#N/A,#N/A,TRUE,"Y능력";#N/A,#N/A,TRUE,"YKD"}</definedName>
    <definedName name="ㅇㅎㄹㅀ" hidden="1">{#N/A,#N/A,FALSE,"단축1";#N/A,#N/A,FALSE,"단축2";#N/A,#N/A,FALSE,"단축3";#N/A,#N/A,FALSE,"장축";#N/A,#N/A,FALSE,"4WD"}</definedName>
    <definedName name="ㅇㅎㄹㅇㅎ">#REF!</definedName>
    <definedName name="ㅇㅎㅇ로ㅓ">#REF!</definedName>
    <definedName name="ㅇㅎㅎㅎ">#REF!</definedName>
    <definedName name="ㅇ허">#REF!</definedName>
    <definedName name="아">#REF!</definedName>
    <definedName name="아님">#REF!</definedName>
    <definedName name="아라">BlankMacro1</definedName>
    <definedName name="아아아아아아아"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앙">#REF!</definedName>
    <definedName name="아이다" hidden="1">{#N/A,#N/A,TRUE,"Y생산";#N/A,#N/A,TRUE,"Y판매";#N/A,#N/A,TRUE,"Y총물량";#N/A,#N/A,TRUE,"Y능력";#N/A,#N/A,TRUE,"YKD"}</definedName>
    <definedName name="아휴">BlankMacro1</definedName>
    <definedName name="아ㅓㅣ니" hidden="1">{#N/A,#N/A,TRUE,"Y생산";#N/A,#N/A,TRUE,"Y판매";#N/A,#N/A,TRUE,"Y총물량";#N/A,#N/A,TRUE,"Y능력";#N/A,#N/A,TRUE,"YKD"}</definedName>
    <definedName name="안">#REF!</definedName>
    <definedName name="안현모" hidden="1">{#N/A,#N/A,FALSE,"단축1";#N/A,#N/A,FALSE,"단축2";#N/A,#N/A,FALSE,"단축3";#N/A,#N/A,FALSE,"장축";#N/A,#N/A,FALSE,"4WD"}</definedName>
    <definedName name="앙">#REF!</definedName>
    <definedName name="야" hidden="1">{#N/A,#N/A,TRUE,"Y생산";#N/A,#N/A,TRUE,"Y판매";#N/A,#N/A,TRUE,"Y총물량";#N/A,#N/A,TRUE,"Y능력";#N/A,#N/A,TRUE,"YKD"}</definedName>
    <definedName name="야다야">BlankMacro1</definedName>
    <definedName name="양식" hidden="1">{#N/A,#N/A,FALSE,"단축1";#N/A,#N/A,FALSE,"단축2";#N/A,#N/A,FALSE,"단축3";#N/A,#N/A,FALSE,"장축";#N/A,#N/A,FALSE,"4WD"}</definedName>
    <definedName name="양식1" hidden="1">{#N/A,#N/A,FALSE,"단축1";#N/A,#N/A,FALSE,"단축2";#N/A,#N/A,FALSE,"단축3";#N/A,#N/A,FALSE,"장축";#N/A,#N/A,FALSE,"4WD"}</definedName>
    <definedName name="어쩌구">#REF!</definedName>
    <definedName name="업체CODE">#N/A</definedName>
    <definedName name="엉댜ㄷㅈ">#REF!</definedName>
    <definedName name="엉댜ㄷㅈ1">#N/A</definedName>
    <definedName name="에산">#REF!</definedName>
    <definedName name="에이" hidden="1">{#N/A,#N/A,TRUE,"Y생산";#N/A,#N/A,TRUE,"Y판매";#N/A,#N/A,TRUE,"Y총물량";#N/A,#N/A,TRUE,"Y능력";#N/A,#N/A,TRUE,"YKD"}</definedName>
    <definedName name="엔진" hidden="1">{#N/A,#N/A,FALSE,"단축1";#N/A,#N/A,FALSE,"단축2";#N/A,#N/A,FALSE,"단축3";#N/A,#N/A,FALSE,"장축";#N/A,#N/A,FALSE,"4WD"}</definedName>
    <definedName name="여력" hidden="1">{#N/A,#N/A,TRUE,"Y생산";#N/A,#N/A,TRUE,"Y판매";#N/A,#N/A,TRUE,"Y총물량";#N/A,#N/A,TRUE,"Y능력";#N/A,#N/A,TRUE,"YKD"}</definedName>
    <definedName name="여력인원" hidden="1">{#N/A,#N/A,FALSE,"96 3월물량표";#N/A,#N/A,FALSE,"96 4월물량표";#N/A,#N/A,FALSE,"96 5월물량표"}</definedName>
    <definedName name="여여영">#REF!</definedName>
    <definedName name="열처리" hidden="1">{#N/A,#N/A,FALSE,"단축1";#N/A,#N/A,FALSE,"단축2";#N/A,#N/A,FALSE,"단축3";#N/A,#N/A,FALSE,"장축";#N/A,#N/A,FALSE,"4WD"}</definedName>
    <definedName name="엿">#REF!</definedName>
    <definedName name="영">#REF!</definedName>
    <definedName name="영업" hidden="1">#REF!</definedName>
    <definedName name="영환율">#REF!</definedName>
    <definedName name="영환율2">#REF!</definedName>
    <definedName name="예">#REF!</definedName>
    <definedName name="예산" hidden="1">{#N/A,#N/A,FALSE,"단축1";#N/A,#N/A,FALSE,"단축2";#N/A,#N/A,FALSE,"단축3";#N/A,#N/A,FALSE,"장축";#N/A,#N/A,FALSE,"4WD"}</definedName>
    <definedName name="예산.1">#REF!</definedName>
    <definedName name="예산.2">#REF!</definedName>
    <definedName name="예산4" hidden="1">{#N/A,#N/A,TRUE,"Y생산";#N/A,#N/A,TRUE,"Y판매";#N/A,#N/A,TRUE,"Y총물량";#N/A,#N/A,TRUE,"Y능력";#N/A,#N/A,TRUE,"YKD"}</definedName>
    <definedName name="예산수정" hidden="1">{#N/A,#N/A,TRUE,"Y생산";#N/A,#N/A,TRUE,"Y판매";#N/A,#N/A,TRUE,"Y총물량";#N/A,#N/A,TRUE,"Y능력";#N/A,#N/A,TRUE,"YKD"}</definedName>
    <definedName name="예산종합">#REF!</definedName>
    <definedName name="예산총괄시트설ONLY">#REF!</definedName>
    <definedName name="오">BlankMacro1</definedName>
    <definedName name="오늘" hidden="1">{#N/A,#N/A,TRUE,"Y생산";#N/A,#N/A,TRUE,"Y판매";#N/A,#N/A,TRUE,"Y총물량";#N/A,#N/A,TRUE,"Y능력";#N/A,#N/A,TRUE,"YKD"}</definedName>
    <definedName name="오성협" hidden="1">{#N/A,#N/A,TRUE,"Y생산";#N/A,#N/A,TRUE,"Y판매";#N/A,#N/A,TRUE,"Y총물량";#N/A,#N/A,TRUE,"Y능력";#N/A,#N/A,TRUE,"YKD"}</definedName>
    <definedName name="오익환" hidden="1">{#N/A,#N/A,FALSE,"단축1";#N/A,#N/A,FALSE,"단축2";#N/A,#N/A,FALSE,"단축3";#N/A,#N/A,FALSE,"장축";#N/A,#N/A,FALSE,"4WD"}</definedName>
    <definedName name="오정진" hidden="1">{#N/A,#N/A,FALSE,"96 3월물량표";#N/A,#N/A,FALSE,"96 4월물량표";#N/A,#N/A,FALSE,"96 5월물량표"}</definedName>
    <definedName name="오지">#REF!</definedName>
    <definedName name="외">#REF!</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요약">#REF!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94">#REF!</definedName>
    <definedName name="용도95">#REF!</definedName>
    <definedName name="용도96">#REF!</definedName>
    <definedName name="용도차" hidden="1">{#N/A,#N/A,FALSE,"단축1";#N/A,#N/A,FALSE,"단축2";#N/A,#N/A,FALSE,"단축3";#N/A,#N/A,FALSE,"장축";#N/A,#N/A,FALSE,"4WD"}</definedName>
    <definedName name="용역" hidden="1">{#N/A,#N/A,TRUE,"Y생산";#N/A,#N/A,TRUE,"Y판매";#N/A,#N/A,TRUE,"Y총물량";#N/A,#N/A,TRUE,"Y능력";#N/A,#N/A,TRUE,"YKD"}</definedName>
    <definedName name="용역경비">#REF!</definedName>
    <definedName name="우리" hidden="1">{#N/A,#N/A,FALSE,"표지";#N/A,#N/A,FALSE,"전제";#N/A,#N/A,FALSE,"손익-자 (2)";#N/A,#N/A,FALSE,"손익-자";#N/A,#N/A,FALSE,"손익-마 (2)";#N/A,#N/A,FALSE,"손익-마";#N/A,#N/A,FALSE,"총손최종"}</definedName>
    <definedName name="우리가" hidden="1">{#N/A,#N/A,TRUE,"Y생산";#N/A,#N/A,TRUE,"Y판매";#N/A,#N/A,TRUE,"Y총물량";#N/A,#N/A,TRUE,"Y능력";#N/A,#N/A,TRUE,"YKD"}</definedName>
    <definedName name="우리나라" hidden="1">{#N/A,#N/A,TRUE,"Y생산";#N/A,#N/A,TRUE,"Y판매";#N/A,#N/A,TRUE,"Y총물량";#N/A,#N/A,TRUE,"Y능력";#N/A,#N/A,TRUE,"YKD"}</definedName>
    <definedName name="운영">#REF!</definedName>
    <definedName name="운영1" hidden="1">{#N/A,#N/A,FALSE,"단축1";#N/A,#N/A,FALSE,"단축2";#N/A,#N/A,FALSE,"단축3";#N/A,#N/A,FALSE,"장축";#N/A,#N/A,FALSE,"4WD"}</definedName>
    <definedName name="원" hidden="1">{#N/A,#N/A,TRUE,"Y생산";#N/A,#N/A,TRUE,"Y판매";#N/A,#N/A,TRUE,"Y총물량";#N/A,#N/A,TRUE,"Y능력";#N/A,#N/A,TRUE,"YKD"}</definedName>
    <definedName name="원가1">#REF!</definedName>
    <definedName name="원가검토서">BlankMacro1</definedName>
    <definedName name="원가화" hidden="1">{#N/A,#N/A,TRUE,"Y생산";#N/A,#N/A,TRUE,"Y판매";#N/A,#N/A,TRUE,"Y총물량";#N/A,#N/A,TRUE,"Y능력";#N/A,#N/A,TRUE,"YKD"}</definedName>
    <definedName name="원단" hidden="1">{#N/A,#N/A,TRUE,"Y생산";#N/A,#N/A,TRUE,"Y판매";#N/A,#N/A,TRUE,"Y총물량";#N/A,#N/A,TRUE,"Y능력";#N/A,#N/A,TRUE,"YKD"}</definedName>
    <definedName name="월별보전비">#REF!</definedName>
    <definedName name="월별영업">#REF!</definedName>
    <definedName name="월별일정" hidden="1">{#N/A,#N/A,FALSE,"단축1";#N/A,#N/A,FALSE,"단축2";#N/A,#N/A,FALSE,"단축3";#N/A,#N/A,FALSE,"장축";#N/A,#N/A,FALSE,"4WD"}</definedName>
    <definedName name="월평균">#REF!,#REF!,#REF!,#REF!,#REF!,#REF!,#REF!,#REF!</definedName>
    <definedName name="유럽"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첨.투자비2" hidden="1">{#N/A,#N/A,FALSE,"단축1";#N/A,#N/A,FALSE,"단축2";#N/A,#N/A,FALSE,"단축3";#N/A,#N/A,FALSE,"장축";#N/A,#N/A,FALSE,"4WD"}</definedName>
    <definedName name="육">#REF!</definedName>
    <definedName name="의뢰">#REF!</definedName>
    <definedName name="의장설계">#REF!</definedName>
    <definedName name="이" hidden="1">{#N/A,#N/A,FALSE,"96 3월물량표";#N/A,#N/A,FALSE,"96 4월물량표";#N/A,#N/A,FALSE,"96 5월물량표"}</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를충돌" hidden="1">{#N/A,#N/A,TRUE,"Y생산";#N/A,#N/A,TRUE,"Y판매";#N/A,#N/A,TRUE,"Y총물량";#N/A,#N/A,TRUE,"Y능력";#N/A,#N/A,TRUE,"YKD"}</definedName>
    <definedName name="이름" hidden="1">{#N/A,#N/A,TRUE,"Y생산";#N/A,#N/A,TRUE,"Y판매";#N/A,#N/A,TRUE,"Y총물량";#N/A,#N/A,TRUE,"Y능력";#N/A,#N/A,TRUE,"YKD"}</definedName>
    <definedName name="이름충돌\" hidden="1">{#N/A,#N/A,TRUE,"Y생산";#N/A,#N/A,TRUE,"Y판매";#N/A,#N/A,TRUE,"Y총물량";#N/A,#N/A,TRUE,"Y능력";#N/A,#N/A,TRUE,"YKD"}</definedName>
    <definedName name="이영호">#REF!</definedName>
    <definedName name="이윤">#REF!</definedName>
    <definedName name="이정">#REF!</definedName>
    <definedName name="이혁준" hidden="1">{#N/A,#N/A,FALSE,"단축1";#N/A,#N/A,FALSE,"단축2";#N/A,#N/A,FALSE,"단축3";#N/A,#N/A,FALSE,"장축";#N/A,#N/A,FALSE,"4WD"}</definedName>
    <definedName name="이환율">#REF!</definedName>
    <definedName name="인계" hidden="1">{#N/A,#N/A,TRUE,"Y생산";#N/A,#N/A,TRUE,"Y판매";#N/A,#N/A,TRUE,"Y총물량";#N/A,#N/A,TRUE,"Y능력";#N/A,#N/A,TRUE,"YKD"}</definedName>
    <definedName name="인계획" hidden="1">{#N/A,#N/A,TRUE,"Y생산";#N/A,#N/A,TRUE,"Y판매";#N/A,#N/A,TRUE,"Y총물량";#N/A,#N/A,TRUE,"Y능력";#N/A,#N/A,TRUE,"YKD"}</definedName>
    <definedName name="인동초" hidden="1">{#N/A,#N/A,TRUE,"Y생산";#N/A,#N/A,TRUE,"Y판매";#N/A,#N/A,TRUE,"Y총물량";#N/A,#N/A,TRUE,"Y능력";#N/A,#N/A,TRUE,"YKD"}</definedName>
    <definedName name="인원세부" hidden="1">{#N/A,#N/A,TRUE,"Y생산";#N/A,#N/A,TRUE,"Y판매";#N/A,#N/A,TRUE,"Y총물량";#N/A,#N/A,TRUE,"Y능력";#N/A,#N/A,TRUE,"YKD"}</definedName>
    <definedName name="일">#REF!</definedName>
    <definedName name="일동" hidden="1">{#N/A,#N/A,TRUE,"Y생산";#N/A,#N/A,TRUE,"Y판매";#N/A,#N/A,TRUE,"Y총물량";#N/A,#N/A,TRUE,"Y능력";#N/A,#N/A,TRUE,"YKD"}</definedName>
    <definedName name="일동성" hidden="1">{#N/A,#N/A,TRUE,"Y생산";#N/A,#N/A,TRUE,"Y판매";#N/A,#N/A,TRUE,"Y총물량";#N/A,#N/A,TRUE,"Y능력";#N/A,#N/A,TRUE,"YKD"}</definedName>
    <definedName name="일면" hidden="1">{#N/A,#N/A,FALSE,"96 3월물량표";#N/A,#N/A,FALSE,"96 4월물량표";#N/A,#N/A,FALSE,"96 5월물량표"}</definedName>
    <definedName name="일반관리비">#REF!</definedName>
    <definedName name="일이ㅏㄹ" hidden="1">{#N/A,#N/A,FALSE,"단축1";#N/A,#N/A,FALSE,"단축2";#N/A,#N/A,FALSE,"단축3";#N/A,#N/A,FALSE,"장축";#N/A,#N/A,FALSE,"4WD"}</definedName>
    <definedName name="일자별" hidden="1">{#N/A,#N/A,TRUE,"Y생산";#N/A,#N/A,TRUE,"Y판매";#N/A,#N/A,TRUE,"Y총물량";#N/A,#N/A,TRUE,"Y능력";#N/A,#N/A,TRUE,"YKD"}</definedName>
    <definedName name="일전" hidden="1">{#N/A,#N/A,TRUE,"Y생산";#N/A,#N/A,TRUE,"Y판매";#N/A,#N/A,TRUE,"Y총물량";#N/A,#N/A,TRUE,"Y능력";#N/A,#N/A,TRUE,"YKD"}</definedName>
    <definedName name="일정" hidden="1">{#N/A,#N/A,TRUE,"Y생산";#N/A,#N/A,TRUE,"Y판매";#N/A,#N/A,TRUE,"Y총물량";#N/A,#N/A,TRUE,"Y능력";#N/A,#N/A,TRUE,"YKD"}</definedName>
    <definedName name="일정계획" hidden="1">{#N/A,#N/A,FALSE,"신규dep";#N/A,#N/A,FALSE,"신규dep-금형상각후";#N/A,#N/A,FALSE,"신규dep-연구비상각후";#N/A,#N/A,FALSE,"신규dep-기계,공구상각후"}</definedName>
    <definedName name="일정실적">#REF!</definedName>
    <definedName name="일총" hidden="1">{#N/A,#N/A,TRUE,"Y생산";#N/A,#N/A,TRUE,"Y판매";#N/A,#N/A,TRUE,"Y총물량";#N/A,#N/A,TRUE,"Y능력";#N/A,#N/A,TRUE,"YKD"}</definedName>
    <definedName name="일환율">#REF!</definedName>
    <definedName name="임시">#REF!</definedName>
    <definedName name="입고화면">#REF!</definedName>
    <definedName name="입고화면2">#REF!</definedName>
    <definedName name="잉크" hidden="1">{#N/A,#N/A,FALSE,"단축1";#N/A,#N/A,FALSE,"단축2";#N/A,#N/A,FALSE,"단축3";#N/A,#N/A,FALSE,"장축";#N/A,#N/A,FALSE,"4WD"}</definedName>
    <definedName name="ㅈ" hidden="1">{#N/A,#N/A,TRUE,"Y생산";#N/A,#N/A,TRUE,"Y판매";#N/A,#N/A,TRUE,"Y총물량";#N/A,#N/A,TRUE,"Y능력";#N/A,#N/A,TRUE,"YKD"}</definedName>
    <definedName name="ㅈWIIWIW" hidden="1">{#N/A,#N/A,FALSE,"96 3월물량표";#N/A,#N/A,FALSE,"96 4월물량표";#N/A,#N/A,FALSE,"96 5월물량표"}</definedName>
    <definedName name="ㅈㄱㄹ" hidden="1">{#N/A,#N/A,FALSE,"단축1";#N/A,#N/A,FALSE,"단축2";#N/A,#N/A,FALSE,"단축3";#N/A,#N/A,FALSE,"장축";#N/A,#N/A,FALSE,"4WD"}</definedName>
    <definedName name="ㅈㄴㄴ" hidden="1">{#N/A,#N/A,FALSE,"단축1";#N/A,#N/A,FALSE,"단축2";#N/A,#N/A,FALSE,"단축3";#N/A,#N/A,FALSE,"장축";#N/A,#N/A,FALSE,"4WD"}</definedName>
    <definedName name="ㅈㄵ" hidden="1">{#N/A,#N/A,FALSE,"단축1";#N/A,#N/A,FALSE,"단축2";#N/A,#N/A,FALSE,"단축3";#N/A,#N/A,FALSE,"장축";#N/A,#N/A,FALSE,"4WD"}</definedName>
    <definedName name="ㅈㄷ" hidden="1">{#N/A,#N/A,TRUE,"Y생산";#N/A,#N/A,TRUE,"Y판매";#N/A,#N/A,TRUE,"Y총물량";#N/A,#N/A,TRUE,"Y능력";#N/A,#N/A,TRUE,"YKD"}</definedName>
    <definedName name="ㅈㄷㄱ" hidden="1">{#N/A,#N/A,FALSE,"단축1";#N/A,#N/A,FALSE,"단축2";#N/A,#N/A,FALSE,"단축3";#N/A,#N/A,FALSE,"장축";#N/A,#N/A,FALSE,"4WD"}</definedName>
    <definedName name="ㅈㄷㄳ" hidden="1">{#N/A,#N/A,FALSE,"신규dep";#N/A,#N/A,FALSE,"신규dep-금형상각후";#N/A,#N/A,FALSE,"신규dep-연구비상각후";#N/A,#N/A,FALSE,"신규dep-기계,공구상각후"}</definedName>
    <definedName name="ㅈㄷㄴ" hidden="1">{#N/A,#N/A,FALSE,"단축1";#N/A,#N/A,FALSE,"단축2";#N/A,#N/A,FALSE,"단축3";#N/A,#N/A,FALSE,"장축";#N/A,#N/A,FALSE,"4WD"}</definedName>
    <definedName name="ㅈㄹ" hidden="1">{#N/A,#N/A,FALSE,"단축1";#N/A,#N/A,FALSE,"단축2";#N/A,#N/A,FALSE,"단축3";#N/A,#N/A,FALSE,"장축";#N/A,#N/A,FALSE,"4WD"}</definedName>
    <definedName name="ㅈㅇㅇㅇㅇㅇㅈ" hidden="1">{#N/A,#N/A,FALSE,"단축1";#N/A,#N/A,FALSE,"단축2";#N/A,#N/A,FALSE,"단축3";#N/A,#N/A,FALSE,"장축";#N/A,#N/A,FALSE,"4WD"}</definedName>
    <definedName name="ㅈㅈ" hidden="1">{#N/A,#N/A,FALSE,"96 3월물량표";#N/A,#N/A,FALSE,"96 4월물량표";#N/A,#N/A,FALSE,"96 5월물량표"}</definedName>
    <definedName name="ㅈㅈㅂㅈㄷ" hidden="1">{#N/A,#N/A,FALSE,"단축1";#N/A,#N/A,FALSE,"단축2";#N/A,#N/A,FALSE,"단축3";#N/A,#N/A,FALSE,"장축";#N/A,#N/A,FALSE,"4WD"}</definedName>
    <definedName name="ㅈㅈㅈ">BlankMacro1</definedName>
    <definedName name="ㅈㅈㅈㅈ" hidden="1">{#N/A,#N/A,TRUE,"Y생산";#N/A,#N/A,TRUE,"Y판매";#N/A,#N/A,TRUE,"Y총물량";#N/A,#N/A,TRUE,"Y능력";#N/A,#N/A,TRUE,"YKD"}</definedName>
    <definedName name="ㅈ져6ㅡㅇㅅ">BlankMacro1</definedName>
    <definedName name="자" hidden="1">{#N/A,#N/A,TRUE,"Y생산";#N/A,#N/A,TRUE,"Y판매";#N/A,#N/A,TRUE,"Y총물량";#N/A,#N/A,TRUE,"Y능력";#N/A,#N/A,TRUE,"YKD"}</definedName>
    <definedName name="自_外">#N/A</definedName>
    <definedName name="자산순">#REF!</definedName>
    <definedName name="자재_고">#REF!</definedName>
    <definedName name="자재_저">#REF!</definedName>
    <definedName name="자재_중">#REF!</definedName>
    <definedName name="자재기준" hidden="1">{#N/A,#N/A,TRUE,"Y생산";#N/A,#N/A,TRUE,"Y판매";#N/A,#N/A,TRUE,"Y총물량";#N/A,#N/A,TRUE,"Y능력";#N/A,#N/A,TRUE,"YKD"}</definedName>
    <definedName name="장">#REF!</definedName>
    <definedName name="장기">#REF!</definedName>
    <definedName name="장비순">#REF!</definedName>
    <definedName name="장중혁">{"XLSHEET.XLA"}</definedName>
    <definedName name="재고1">#REF!</definedName>
    <definedName name="재고2">#REF!</definedName>
    <definedName name="재질명">#REF!</definedName>
    <definedName name="저쩌구">#REF!</definedName>
    <definedName name="적용환율">1.7207</definedName>
    <definedName name="전" hidden="1">{#N/A,#N/A,FALSE,"신규dep";#N/A,#N/A,FALSE,"신규dep-금형상각후";#N/A,#N/A,FALSE,"신규dep-연구비상각후";#N/A,#N/A,FALSE,"신규dep-기계,공구상각후"}</definedName>
    <definedName name="전_망">#REF!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공장간접" hidden="1">{#N/A,#N/A,TRUE,"Y생산";#N/A,#N/A,TRUE,"Y판매";#N/A,#N/A,TRUE,"Y총물량";#N/A,#N/A,TRUE,"Y능력";#N/A,#N/A,TRUE,"YKD"}</definedName>
    <definedName name="전동장비">#REF!</definedName>
    <definedName name="전략">#REF!</definedName>
    <definedName name="전략1">#REF!</definedName>
    <definedName name="전사">#REF!</definedName>
    <definedName name="전산VIN">#REF!</definedName>
    <definedName name="전자시">#REF!</definedName>
    <definedName name="전장">#REF!</definedName>
    <definedName name="전장.문">#REF!</definedName>
    <definedName name="전차종" hidden="1">{#N/A,#N/A,FALSE,"표지";#N/A,#N/A,FALSE,"전제";#N/A,#N/A,FALSE,"대당";#N/A,#N/A,FALSE,"가공비";#N/A,#N/A,FALSE,"재료비";#N/A,#N/A,FALSE,"손익"}</definedName>
    <definedName name="전체">#REF!</definedName>
    <definedName name="전체1" hidden="1">{#N/A,#N/A,FALSE,"단축1";#N/A,#N/A,FALSE,"단축2";#N/A,#N/A,FALSE,"단축3";#N/A,#N/A,FALSE,"장축";#N/A,#N/A,FALSE,"4WD"}</definedName>
    <definedName name="전체2" hidden="1">{#N/A,#N/A,FALSE,"단축1";#N/A,#N/A,FALSE,"단축2";#N/A,#N/A,FALSE,"단축3";#N/A,#N/A,FALSE,"장축";#N/A,#N/A,FALSE,"4WD"}</definedName>
    <definedName name="전체24">#REF!</definedName>
    <definedName name="전체시간">#REF!</definedName>
    <definedName name="전체종합2" hidden="1">{#N/A,#N/A,FALSE,"단축1";#N/A,#N/A,FALSE,"단축2";#N/A,#N/A,FALSE,"단축3";#N/A,#N/A,FALSE,"장축";#N/A,#N/A,FALSE,"4WD"}</definedName>
    <definedName name="전체현황" hidden="1">{#N/A,#N/A,FALSE,"단축1";#N/A,#N/A,FALSE,"단축2";#N/A,#N/A,FALSE,"단축3";#N/A,#N/A,FALSE,"장축";#N/A,#N/A,FALSE,"4WD"}</definedName>
    <definedName name="절대일정"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점호" hidden="1">{#N/A,#N/A,FALSE,"단축1";#N/A,#N/A,FALSE,"단축2";#N/A,#N/A,FALSE,"단축3";#N/A,#N/A,FALSE,"장축";#N/A,#N/A,FALSE,"4WD"}</definedName>
    <definedName name="정" hidden="1">{#N/A,#N/A,TRUE,"Y생산";#N/A,#N/A,TRUE,"Y판매";#N/A,#N/A,TRUE,"Y총물량";#N/A,#N/A,TRUE,"Y능력";#N/A,#N/A,TRUE,"YKD"}</definedName>
    <definedName name="정건">#REF!</definedName>
    <definedName name="정민수" hidden="1">{#N/A,#N/A,TRUE,"Y생산";#N/A,#N/A,TRUE,"Y판매";#N/A,#N/A,TRUE,"Y총물량";#N/A,#N/A,TRUE,"Y능력";#N/A,#N/A,TRUE,"YKD"}</definedName>
    <definedName name="정산7">#REF!</definedName>
    <definedName name="정산분">#REF!</definedName>
    <definedName name="정수용" hidden="1">{#N/A,#N/A,TRUE,"Y생산";#N/A,#N/A,TRUE,"Y판매";#N/A,#N/A,TRUE,"Y총물량";#N/A,#N/A,TRUE,"Y능력";#N/A,#N/A,TRUE,"YKD"}</definedName>
    <definedName name="정영출">#REF!</definedName>
    <definedName name="정왕자" hidden="1">{#N/A,#N/A,TRUE,"Y생산";#N/A,#N/A,TRUE,"Y판매";#N/A,#N/A,TRUE,"Y총물량";#N/A,#N/A,TRUE,"Y능력";#N/A,#N/A,TRUE,"YKD"}</definedName>
    <definedName name="정지훈" hidden="1">{#N/A,#N/A,TRUE,"Y생산";#N/A,#N/A,TRUE,"Y판매";#N/A,#N/A,TRUE,"Y총물량";#N/A,#N/A,TRUE,"Y능력";#N/A,#N/A,TRUE,"YKD"}</definedName>
    <definedName name="정징" hidden="1">{#N/A,#N/A,TRUE,"Y생산";#N/A,#N/A,TRUE,"Y판매";#N/A,#N/A,TRUE,"Y총물량";#N/A,#N/A,TRUE,"Y능력";#N/A,#N/A,TRUE,"YKD"}</definedName>
    <definedName name="정치.AA">#REF!</definedName>
    <definedName name="정치문제">#REF!</definedName>
    <definedName name="정치설명">#REF!</definedName>
    <definedName name="정희석">#REF!</definedName>
    <definedName name="정히">#REF!</definedName>
    <definedName name="젖" hidden="1">{#N/A,#N/A,FALSE,"단축1";#N/A,#N/A,FALSE,"단축2";#N/A,#N/A,FALSE,"단축3";#N/A,#N/A,FALSE,"장축";#N/A,#N/A,FALSE,"4WD"}</definedName>
    <definedName name="제2석굴암" hidden="1">{#N/A,#N/A,FALSE,"품의서";#N/A,#N/A,FALSE,"전제";#N/A,#N/A,FALSE,"총손";#N/A,#N/A,FALSE,"손익"}</definedName>
    <definedName name="제목">#REF!</definedName>
    <definedName name="제원종합" hidden="1">#REF!</definedName>
    <definedName name="제작cost">#REF!</definedName>
    <definedName name="제작현황" hidden="1">{#N/A,#N/A,FALSE,"단축1";#N/A,#N/A,FALSE,"단축2";#N/A,#N/A,FALSE,"단축3";#N/A,#N/A,FALSE,"장축";#N/A,#N/A,FALSE,"4WD"}</definedName>
    <definedName name="조달단위전체">#REF!</definedName>
    <definedName name="조립" hidden="1">{#N/A,#N/A,FALSE,"단축1";#N/A,#N/A,FALSE,"단축2";#N/A,#N/A,FALSE,"단축3";#N/A,#N/A,FALSE,"장축";#N/A,#N/A,FALSE,"4WD"}</definedName>
    <definedName name="조립2" hidden="1">{#N/A,#N/A,FALSE,"단축1";#N/A,#N/A,FALSE,"단축2";#N/A,#N/A,FALSE,"단축3";#N/A,#N/A,FALSE,"장축";#N/A,#N/A,FALSE,"4WD"}</definedName>
    <definedName name="조립공수" hidden="1">{#N/A,#N/A,TRUE,"Y생산";#N/A,#N/A,TRUE,"Y판매";#N/A,#N/A,TRUE,"Y총물량";#N/A,#N/A,TRUE,"Y능력";#N/A,#N/A,TRUE,"YKD"}</definedName>
    <definedName name="조립순서">#REF!</definedName>
    <definedName name="조립실적">#REF!</definedName>
    <definedName name="조립현황">#REF!</definedName>
    <definedName name="조사">#REF!</definedName>
    <definedName name="조업변경" hidden="1">{#N/A,#N/A,TRUE,"Y생산";#N/A,#N/A,TRUE,"Y판매";#N/A,#N/A,TRUE,"Y총물량";#N/A,#N/A,TRUE,"Y능력";#N/A,#N/A,TRUE,"YKD"}</definedName>
    <definedName name="조직">#REF!</definedName>
    <definedName name="조직도">#REF!</definedName>
    <definedName name="조치" hidden="1">{#N/A,#N/A,FALSE,"단축1";#N/A,#N/A,FALSE,"단축2";#N/A,#N/A,FALSE,"단축3";#N/A,#N/A,FALSE,"장축";#N/A,#N/A,FALSE,"4WD"}</definedName>
    <definedName name="존주">#REF!</definedName>
    <definedName name="종">#REF!</definedName>
    <definedName name="종합" hidden="1">{#N/A,#N/A,TRUE,"Y생산";#N/A,#N/A,TRUE,"Y판매";#N/A,#N/A,TRUE,"Y총물량";#N/A,#N/A,TRUE,"Y능력";#N/A,#N/A,TRUE,"YKD"}</definedName>
    <definedName name="종합그래프" hidden="1">{#N/A,#N/A,FALSE,"단축1";#N/A,#N/A,FALSE,"단축2";#N/A,#N/A,FALSE,"단축3";#N/A,#N/A,FALSE,"장축";#N/A,#N/A,FALSE,"4WD"}</definedName>
    <definedName name="주" hidden="1">{#N/A,#N/A,FALSE,"단축1";#N/A,#N/A,FALSE,"단축2";#N/A,#N/A,FALSE,"단축3";#N/A,#N/A,FALSE,"장축";#N/A,#N/A,FALSE,"4WD"}</definedName>
    <definedName name="주민호" hidden="1">{#N/A,#N/A,TRUE,"Y생산";#N/A,#N/A,TRUE,"Y판매";#N/A,#N/A,TRUE,"Y총물량";#N/A,#N/A,TRUE,"Y능력";#N/A,#N/A,TRUE,"YKD"}</definedName>
    <definedName name="주요" hidden="1">{#N/A,#N/A,TRUE,"Y생산";#N/A,#N/A,TRUE,"Y판매";#N/A,#N/A,TRUE,"Y총물량";#N/A,#N/A,TRUE,"Y능력";#N/A,#N/A,TRUE,"YKD"}</definedName>
    <definedName name="주요문제점">#REF!</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hidden="1">{#N/A,#N/A,FALSE,"단축1";#N/A,#N/A,FALSE,"단축2";#N/A,#N/A,FALSE,"단축3";#N/A,#N/A,FALSE,"장축";#N/A,#N/A,FALSE,"4WD"}</definedName>
    <definedName name="주행P12GRP">#REF!</definedName>
    <definedName name="주행RATING표">#REF!</definedName>
    <definedName name="주행문제">#REF!</definedName>
    <definedName name="준비계획">#REF!</definedName>
    <definedName name="중단">#REF!</definedName>
    <definedName name="중ㅇ">#REF!</definedName>
    <definedName name="중앙" hidden="1">{#N/A,#N/A,FALSE,"단축1";#N/A,#N/A,FALSE,"단축2";#N/A,#N/A,FALSE,"단축3";#N/A,#N/A,FALSE,"장축";#N/A,#N/A,FALSE,"4WD"}</definedName>
    <definedName name="증가율">#REF!</definedName>
    <definedName name="지" hidden="1">{#N/A,#N/A,TRUE,"Y생산";#N/A,#N/A,TRUE,"Y판매";#N/A,#N/A,TRUE,"Y총물량";#N/A,#N/A,TRUE,"Y능력";#N/A,#N/A,TRUE,"YKD"}</definedName>
    <definedName name="지역">#REF!</definedName>
    <definedName name="지연">#REF!</definedName>
    <definedName name="지태면" hidden="1">{#N/A,#N/A,TRUE,"Y생산";#N/A,#N/A,TRUE,"Y판매";#N/A,#N/A,TRUE,"Y총물량";#N/A,#N/A,TRUE,"Y능력";#N/A,#N/A,TRUE,"YKD"}</definedName>
    <definedName name="지호" hidden="1">{#N/A,#N/A,FALSE,"단축1";#N/A,#N/A,FALSE,"단축2";#N/A,#N/A,FALSE,"단축3";#N/A,#N/A,FALSE,"장축";#N/A,#N/A,FALSE,"4WD"}</definedName>
    <definedName name="직접10">#REF!</definedName>
    <definedName name="직접9">#REF!</definedName>
    <definedName name="직준직접">#REF!</definedName>
    <definedName name="진척현">#REF!</definedName>
    <definedName name="진행순서5차">#REF!</definedName>
    <definedName name="집행">#REF!</definedName>
    <definedName name="ㅉ" hidden="1">{#N/A,#N/A,TRUE,"Y생산";#N/A,#N/A,TRUE,"Y판매";#N/A,#N/A,TRUE,"Y총물량";#N/A,#N/A,TRUE,"Y능력";#N/A,#N/A,TRUE,"YKD"}</definedName>
    <definedName name="쪼당" hidden="1">{#N/A,#N/A,TRUE,"Y생산";#N/A,#N/A,TRUE,"Y판매";#N/A,#N/A,TRUE,"Y총물량";#N/A,#N/A,TRUE,"Y능력";#N/A,#N/A,TRUE,"YKD"}</definedName>
    <definedName name="쫪즊">#REF!</definedName>
    <definedName name="ㅊ" hidden="1">{#N/A,#N/A,FALSE,"품의서";#N/A,#N/A,FALSE,"전제";#N/A,#N/A,FALSE,"총손";#N/A,#N/A,FALSE,"손익";#N/A,#N/A,FALSE,"대당";#N/A,#N/A,FALSE,"가공비";#N/A,#N/A,FALSE,"재료비";#N/A,#N/A,FALSE,"판비";#N/A,#N/A,FALSE,"가격"}</definedName>
    <definedName name="ㅊㄹㄷㄱ">#REF!</definedName>
    <definedName name="ㅊㅊ" hidden="1">{#N/A,#N/A,FALSE,"단축1";#N/A,#N/A,FALSE,"단축2";#N/A,#N/A,FALSE,"단축3";#N/A,#N/A,FALSE,"장축";#N/A,#N/A,FALSE,"4WD"}</definedName>
    <definedName name="ㅊㅊㅊ" hidden="1">{#N/A,#N/A,FALSE,"단축1";#N/A,#N/A,FALSE,"단축2";#N/A,#N/A,FALSE,"단축3";#N/A,#N/A,FALSE,"장축";#N/A,#N/A,FALSE,"4WD"}</definedName>
    <definedName name="ㅊㅊㅊㅊ">BlankMacro1</definedName>
    <definedName name="ㅊㅌㅊㅊ">#REF!</definedName>
    <definedName name="ㅊㅍ">#REF!</definedName>
    <definedName name="차">#REF!</definedName>
    <definedName name="차량시험" hidden="1">{#N/A,#N/A,FALSE,"단축1";#N/A,#N/A,FALSE,"단축2";#N/A,#N/A,FALSE,"단축3";#N/A,#N/A,FALSE,"장축";#N/A,#N/A,FALSE,"4WD"}</definedName>
    <definedName name="차병률" hidden="1">{#N/A,#N/A,TRUE,"Y생산";#N/A,#N/A,TRUE,"Y판매";#N/A,#N/A,TRUE,"Y총물량";#N/A,#N/A,TRUE,"Y능력";#N/A,#N/A,TRUE,"YKD"}</definedName>
    <definedName name="차종">#REF!</definedName>
    <definedName name="차종94">#REF!</definedName>
    <definedName name="차종95">#REF!</definedName>
    <definedName name="차종96">#REF!</definedName>
    <definedName name="차종별" hidden="1">{#N/A,#N/A,TRUE,"Y생산";#N/A,#N/A,TRUE,"Y판매";#N/A,#N/A,TRUE,"Y총물량";#N/A,#N/A,TRUE,"Y능력";#N/A,#N/A,TRUE,"YKD"}</definedName>
    <definedName name="차체" hidden="1">{#N/A,#N/A,FALSE,"단축1";#N/A,#N/A,FALSE,"단축2";#N/A,#N/A,FALSE,"단축3";#N/A,#N/A,FALSE,"장축";#N/A,#N/A,FALSE,"4WD"}</definedName>
    <definedName name="차체1" hidden="1">{#N/A,#N/A,FALSE,"단축1";#N/A,#N/A,FALSE,"단축2";#N/A,#N/A,FALSE,"단축3";#N/A,#N/A,FALSE,"장축";#N/A,#N/A,FALSE,"4WD"}</definedName>
    <definedName name="차체공정">#REF!</definedName>
    <definedName name="차체기술부">#REF!</definedName>
    <definedName name="창">#REF!</definedName>
    <definedName name="첨부">#REF!</definedName>
    <definedName name="첨부0">#REF!</definedName>
    <definedName name="첨부1">#REF!</definedName>
    <definedName name="첨부1.공급방안">#REF!</definedName>
    <definedName name="첨부11">#REF!</definedName>
    <definedName name="첨부12">#REF!</definedName>
    <definedName name="첨부2">#REF!</definedName>
    <definedName name="첨부2일정">#REF!</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첨11">#REF!</definedName>
    <definedName name="초휴ㅜ">#REF!</definedName>
    <definedName name="총괄" hidden="1">{#N/A,#N/A,TRUE,"Y생산";#N/A,#N/A,TRUE,"Y판매";#N/A,#N/A,TRUE,"Y총물량";#N/A,#N/A,TRUE,"Y능력";#N/A,#N/A,TRUE,"YKD"}</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최신본">#REF!</definedName>
    <definedName name="최영" hidden="1">{#N/A,#N/A,FALSE,"정공"}</definedName>
    <definedName name="최종" hidden="1">{#N/A,#N/A,FALSE,"단축1";#N/A,#N/A,FALSE,"단축2";#N/A,#N/A,FALSE,"단축3";#N/A,#N/A,FALSE,"장축";#N/A,#N/A,FALSE,"4WD"}</definedName>
    <definedName name="쵸ㅗㅕ켬ㅅ">BlankMacro1</definedName>
    <definedName name="추" hidden="1">{#N/A,#N/A,FALSE,"단축1";#N/A,#N/A,FALSE,"단축2";#N/A,#N/A,FALSE,"단축3";#N/A,#N/A,FALSE,"장축";#N/A,#N/A,FALSE,"4WD"}</definedName>
    <definedName name="추진일정1" hidden="1">{#N/A,#N/A,FALSE,"신규dep";#N/A,#N/A,FALSE,"신규dep-금형상각후";#N/A,#N/A,FALSE,"신규dep-연구비상각후";#N/A,#N/A,FALSE,"신규dep-기계,공구상각후"}</definedName>
    <definedName name="추진현황ms">#REF!</definedName>
    <definedName name="출하" hidden="1">{#N/A,#N/A,FALSE,"96 3월물량표";#N/A,#N/A,FALSE,"96 4월물량표";#N/A,#N/A,FALSE,"96 5월물량표"}</definedName>
    <definedName name="충돌" hidden="1">{#N/A,#N/A,FALSE,"품의서";#N/A,#N/A,FALSE,"전제";#N/A,#N/A,FALSE,"총손";#N/A,#N/A,FALSE,"손익";#N/A,#N/A,FALSE,"대당";#N/A,#N/A,FALSE,"가공비";#N/A,#N/A,FALSE,"재료비";#N/A,#N/A,FALSE,"판비";#N/A,#N/A,FALSE,"가격"}</definedName>
    <definedName name="칠">#REF!</definedName>
    <definedName name="ㅋ">BlankMacro1</definedName>
    <definedName name="ㅋㄴㄴㅁ">#REF!</definedName>
    <definedName name="ㅋㅁㅋㅁ">BlankMacro1</definedName>
    <definedName name="ㅋㅇㅍ" hidden="1">{#N/A,#N/A,FALSE,"단축1";#N/A,#N/A,FALSE,"단축2";#N/A,#N/A,FALSE,"단축3";#N/A,#N/A,FALSE,"장축";#N/A,#N/A,FALSE,"4WD"}</definedName>
    <definedName name="ㅋㅋ" hidden="1">{#N/A,#N/A,TRUE,"Y생산";#N/A,#N/A,TRUE,"Y판매";#N/A,#N/A,TRUE,"Y총물량";#N/A,#N/A,TRUE,"Y능력";#N/A,#N/A,TRUE,"YKD"}</definedName>
    <definedName name="ㅋㅋㅋ">BlankMacro1</definedName>
    <definedName name="ㅋㅋㅋㅋ">BlankMacro1</definedName>
    <definedName name="ㅋㅋㅋㅋ2">BlankMacro1</definedName>
    <definedName name="ㅋ후ㅊ">#REF!</definedName>
    <definedName name="카렌" hidden="1">{#N/A,#N/A,TRUE,"Y생산";#N/A,#N/A,TRUE,"Y판매";#N/A,#N/A,TRUE,"Y총물량";#N/A,#N/A,TRUE,"Y능력";#N/A,#N/A,TRUE,"YKD"}</definedName>
    <definedName name="카메라" hidden="1">{#N/A,#N/A,FALSE,"단축1";#N/A,#N/A,FALSE,"단축2";#N/A,#N/A,FALSE,"단축3";#N/A,#N/A,FALSE,"장축";#N/A,#N/A,FALSE,"4WD"}</definedName>
    <definedName name="카제기" hidden="1">{#N/A,#N/A,FALSE,"단축1";#N/A,#N/A,FALSE,"단축2";#N/A,#N/A,FALSE,"단축3";#N/A,#N/A,FALSE,"장축";#N/A,#N/A,FALSE,"4WD"}</definedName>
    <definedName name="카환율">#REF!</definedName>
    <definedName name="쿨링">#REF!</definedName>
    <definedName name="크" hidden="1">{#N/A,#N/A,FALSE,"단축1";#N/A,#N/A,FALSE,"단축2";#N/A,#N/A,FALSE,"단축3";#N/A,#N/A,FALSE,"장축";#N/A,#N/A,FALSE,"4WD"}</definedName>
    <definedName name="크랑" hidden="1">{#N/A,#N/A,FALSE,"단축1";#N/A,#N/A,FALSE,"단축2";#N/A,#N/A,FALSE,"단축3";#N/A,#N/A,FALSE,"장축";#N/A,#N/A,FALSE,"4WD"}</definedName>
    <definedName name="킨사이다" hidden="1">{#N/A,#N/A,FALSE,"품의서";#N/A,#N/A,FALSE,"전제";#N/A,#N/A,FALSE,"총손";#N/A,#N/A,FALSE,"손익"}</definedName>
    <definedName name="ㅌ" hidden="1">{#N/A,#N/A,FALSE,"단축1";#N/A,#N/A,FALSE,"단축2";#N/A,#N/A,FALSE,"단축3";#N/A,#N/A,FALSE,"장축";#N/A,#N/A,FALSE,"4WD"}</definedName>
    <definedName name="ㅌㄴㅇ" hidden="1">{#N/A,#N/A,FALSE,"단축1";#N/A,#N/A,FALSE,"단축2";#N/A,#N/A,FALSE,"단축3";#N/A,#N/A,FALSE,"장축";#N/A,#N/A,FALSE,"4WD"}</definedName>
    <definedName name="ㅌ롤허ㅗ">#REF!</definedName>
    <definedName name="ㅌㅌㅌ">BlankMacro1</definedName>
    <definedName name="ㅌㅌㅌㅊㅍ">#REF!</definedName>
    <definedName name="ㅌㅌㅌㅌ">BlankMacro1</definedName>
    <definedName name="타이어구입311월">#REF!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통일전세" hidden="1">{#N/A,#N/A,FALSE,"품의서";#N/A,#N/A,FALSE,"전제";#N/A,#N/A,FALSE,"총손";#N/A,#N/A,FALSE,"손익";#N/A,#N/A,FALSE,"대당";#N/A,#N/A,FALSE,"가공비";#N/A,#N/A,FALSE,"재료비";#N/A,#N/A,FALSE,"판비";#N/A,#N/A,FALSE,"가격"}</definedName>
    <definedName name="통합1장" hidden="1">{#N/A,#N/A,FALSE,"단축1";#N/A,#N/A,FALSE,"단축2";#N/A,#N/A,FALSE,"단축3";#N/A,#N/A,FALSE,"장축";#N/A,#N/A,FALSE,"4WD"}</definedName>
    <definedName name="퇴직사유">#REF!</definedName>
    <definedName name="퇴직율">#REF!</definedName>
    <definedName name="투자" hidden="1">#REF!</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금액1" hidden="1">{#N/A,#N/A,FALSE,"단축1";#N/A,#N/A,FALSE,"단축2";#N/A,#N/A,FALSE,"단축3";#N/A,#N/A,FALSE,"장축";#N/A,#N/A,FALSE,"4WD"}</definedName>
    <definedName name="투자비">#REF!</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트럭p">#REF!</definedName>
    <definedName name="트럭차체부" hidden="1">{#N/A,#N/A,TRUE,"Y생산";#N/A,#N/A,TRUE,"Y판매";#N/A,#N/A,TRUE,"Y총물량";#N/A,#N/A,TRUE,"Y능력";#N/A,#N/A,TRUE,"YKD"}</definedName>
    <definedName name="트럭차체부1" hidden="1">{#N/A,#N/A,TRUE,"Y생산";#N/A,#N/A,TRUE,"Y판매";#N/A,#N/A,TRUE,"Y총물량";#N/A,#N/A,TRUE,"Y능력";#N/A,#N/A,TRUE,"YKD"}</definedName>
    <definedName name="팀별">#REF!</definedName>
    <definedName name="ㅍ" hidden="1">{#N/A,#N/A,FALSE,"표지";#N/A,#N/A,FALSE,"전제";#N/A,#N/A,FALSE,"대당";#N/A,#N/A,FALSE,"가공비";#N/A,#N/A,FALSE,"재료비";#N/A,#N/A,FALSE,"손익"}</definedName>
    <definedName name="ㅍㅌㅊㅍ" hidden="1">{#N/A,#N/A,FALSE,"단축1";#N/A,#N/A,FALSE,"단축2";#N/A,#N/A,FALSE,"단축3";#N/A,#N/A,FALSE,"장축";#N/A,#N/A,FALSE,"4WD"}</definedName>
    <definedName name="ㅍㅍ" hidden="1">{#N/A,#N/A,FALSE,"단축1";#N/A,#N/A,FALSE,"단축2";#N/A,#N/A,FALSE,"단축3";#N/A,#N/A,FALSE,"장축";#N/A,#N/A,FALSE,"4WD"}</definedName>
    <definedName name="ㅍㅍㅍ" hidden="1">{#N/A,#N/A,FALSE,"단축1";#N/A,#N/A,FALSE,"단축2";#N/A,#N/A,FALSE,"단축3";#N/A,#N/A,FALSE,"장축";#N/A,#N/A,FALSE,"4WD"}</definedName>
    <definedName name="ㅍㅍㅍㅍ">BlankMacro1</definedName>
    <definedName name="판매" hidden="1">{#N/A,#N/A,FALSE,"단축1";#N/A,#N/A,FALSE,"단축2";#N/A,#N/A,FALSE,"단축3";#N/A,#N/A,FALSE,"장축";#N/A,#N/A,FALSE,"4WD"}</definedName>
    <definedName name="판매1" hidden="1">{#N/A,#N/A,TRUE,"Y생산";#N/A,#N/A,TRUE,"Y판매";#N/A,#N/A,TRUE,"Y총물량";#N/A,#N/A,TRUE,"Y능력";#N/A,#N/A,TRUE,"YKD"}</definedName>
    <definedName name="판매목표2"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가대상">#REF!</definedName>
    <definedName name="포">#REF!</definedName>
    <definedName name="표">#REF!</definedName>
    <definedName name="표1">#REF!</definedName>
    <definedName name="표11">#REF!</definedName>
    <definedName name="표어" hidden="1">{#N/A,#N/A,FALSE,"단축1";#N/A,#N/A,FALSE,"단축2";#N/A,#N/A,FALSE,"단축3";#N/A,#N/A,FALSE,"장축";#N/A,#N/A,FALSE,"4WD"}</definedName>
    <definedName name="표준화실적99" hidden="1">{#N/A,#N/A,FALSE,"단축1";#N/A,#N/A,FALSE,"단축2";#N/A,#N/A,FALSE,"단축3";#N/A,#N/A,FALSE,"장축";#N/A,#N/A,FALSE,"4WD"}</definedName>
    <definedName name="표지">#REF!</definedName>
    <definedName name="표지1" hidden="1">{#N/A,#N/A,FALSE,"단축1";#N/A,#N/A,FALSE,"단축2";#N/A,#N/A,FALSE,"단축3";#N/A,#N/A,FALSE,"장축";#N/A,#N/A,FALSE,"4WD"}</definedName>
    <definedName name="푸" hidden="1">{#N/A,#N/A,FALSE,"단축1";#N/A,#N/A,FALSE,"단축2";#N/A,#N/A,FALSE,"단축3";#N/A,#N/A,FALSE,"장축";#N/A,#N/A,FALSE,"4WD"}</definedName>
    <definedName name="품" hidden="1">{#N/A,#N/A,TRUE,"Y생산";#N/A,#N/A,TRUE,"Y판매";#N/A,#N/A,TRUE,"Y총물량";#N/A,#N/A,TRUE,"Y능력";#N/A,#N/A,TRUE,"YKD"}</definedName>
    <definedName name="품질_고">#REF!</definedName>
    <definedName name="품질_저">#REF!</definedName>
    <definedName name="품질_중">#REF!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 hidden="1">{#N/A,#N/A,FALSE,"단축1";#N/A,#N/A,FALSE,"단축2";#N/A,#N/A,FALSE,"단축3";#N/A,#N/A,FALSE,"장축";#N/A,#N/A,FALSE,"4WD"}</definedName>
    <definedName name="프">#REF!</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프환율">#REF!</definedName>
    <definedName name="ㅎ" hidden="1">{#N/A,#N/A,FALSE,"단축1";#N/A,#N/A,FALSE,"단축2";#N/A,#N/A,FALSE,"단축3";#N/A,#N/A,FALSE,"장축";#N/A,#N/A,FALSE,"4WD"}</definedName>
    <definedName name="ㅎ골호" hidden="1">{#N/A,#N/A,FALSE,"단축1";#N/A,#N/A,FALSE,"단축2";#N/A,#N/A,FALSE,"단축3";#N/A,#N/A,FALSE,"장축";#N/A,#N/A,FALSE,"4WD"}</definedName>
    <definedName name="ㅎㄴㅇㅁㅎ">#REF!</definedName>
    <definedName name="ㅎㄷㄵㄱ">#REF!</definedName>
    <definedName name="ㅎㄹㅇㅎ">#REF!</definedName>
    <definedName name="ㅎ라" hidden="1">{#N/A,#N/A,TRUE,"Y생산";#N/A,#N/A,TRUE,"Y판매";#N/A,#N/A,TRUE,"Y총물량";#N/A,#N/A,TRUE,"Y능력";#N/A,#N/A,TRUE,"YKD"}</definedName>
    <definedName name="ㅎ로" hidden="1">{#N/A,#N/A,FALSE,"단축1";#N/A,#N/A,FALSE,"단축2";#N/A,#N/A,FALSE,"단축3";#N/A,#N/A,FALSE,"장축";#N/A,#N/A,FALSE,"4WD"}</definedName>
    <definedName name="ㅎ룰후ㅎㅎ" hidden="1">{#N/A,#N/A,FALSE,"단축1";#N/A,#N/A,FALSE,"단축2";#N/A,#N/A,FALSE,"단축3";#N/A,#N/A,FALSE,"장축";#N/A,#N/A,FALSE,"4WD"}</definedName>
    <definedName name="ㅎㅁㅎㄻ">#REF!</definedName>
    <definedName name="ㅎㅅㄱ" hidden="1">{#N/A,#N/A,FALSE,"단축1";#N/A,#N/A,FALSE,"단축2";#N/A,#N/A,FALSE,"단축3";#N/A,#N/A,FALSE,"장축";#N/A,#N/A,FALSE,"4WD"}</definedName>
    <definedName name="ㅎㅎ">#REF!</definedName>
    <definedName name="ㅎㅎㄴ">#REF!</definedName>
    <definedName name="ㅎㅎㅎ">BlankMacro1</definedName>
    <definedName name="ㅎㅎㅎㅎ" hidden="1">{#N/A,#N/A,FALSE,"단축1";#N/A,#N/A,FALSE,"단축2";#N/A,#N/A,FALSE,"단축3";#N/A,#N/A,FALSE,"장축";#N/A,#N/A,FALSE,"4WD"}</definedName>
    <definedName name="ㅎㅎㅎㅎㅎㅎ">#REF!</definedName>
    <definedName name="ㅎ호ㅓㅓㅗ" hidden="1">{#N/A,#N/A,FALSE,"단축1";#N/A,#N/A,FALSE,"단축2";#N/A,#N/A,FALSE,"단축3";#N/A,#N/A,FALSE,"장축";#N/A,#N/A,FALSE,"4WD"}</definedName>
    <definedName name="하기">#REF!</definedName>
    <definedName name="하반기투ST" hidden="1">{#N/A,#N/A,TRUE,"Y생산";#N/A,#N/A,TRUE,"Y판매";#N/A,#N/A,TRUE,"Y총물량";#N/A,#N/A,TRUE,"Y능력";#N/A,#N/A,TRUE,"YKD"}</definedName>
    <definedName name="하핳" hidden="1">{#N/A,#N/A,TRUE,"Y생산";#N/A,#N/A,TRUE,"Y판매";#N/A,#N/A,TRUE,"Y총물량";#N/A,#N/A,TRUE,"Y능력";#N/A,#N/A,TRUE,"YKD"}</definedName>
    <definedName name="한국"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한화">#REF!</definedName>
    <definedName name="합계_1월">#REF!</definedName>
    <definedName name="합계_2월">#REF!</definedName>
    <definedName name="합계_3월">#REF!</definedName>
    <definedName name="합계_4월">#REF!</definedName>
    <definedName name="합계_5월">#REF!</definedName>
    <definedName name="합계_6월">#REF!</definedName>
    <definedName name="합계_7월">#REF!</definedName>
    <definedName name="향후계획1" hidden="1">{#N/A,#N/A,FALSE,"단축1";#N/A,#N/A,FALSE,"단축2";#N/A,#N/A,FALSE,"단축3";#N/A,#N/A,FALSE,"장축";#N/A,#N/A,FALSE,"4WD"}</definedName>
    <definedName name="허정훤" hidden="1">{#N/A,#N/A,TRUE,"Y생산";#N/A,#N/A,TRUE,"Y판매";#N/A,#N/A,TRUE,"Y총물량";#N/A,#N/A,TRUE,"Y능력";#N/A,#N/A,TRUE,"YKD"}</definedName>
    <definedName name="허허" hidden="1">{#N/A,#N/A,TRUE,"Y생산";#N/A,#N/A,TRUE,"Y판매";#N/A,#N/A,TRUE,"Y총물량";#N/A,#N/A,TRUE,"Y능력";#N/A,#N/A,TRUE,"YKD"}</definedName>
    <definedName name="허ㅓ" hidden="1">{#N/A,#N/A,FALSE,"단축1";#N/A,#N/A,FALSE,"단축2";#N/A,#N/A,FALSE,"단축3";#N/A,#N/A,FALSE,"장축";#N/A,#N/A,FALSE,"4WD"}</definedName>
    <definedName name="허ㅛㅅ">#REF!</definedName>
    <definedName name="현대" hidden="1">{#N/A,#N/A,FALSE,"정공"}</definedName>
    <definedName name="현대단가">107630</definedName>
    <definedName name="現代綜合商事經由分">#REF!</definedName>
    <definedName name="현상">#REF!</definedName>
    <definedName name="현재인원">#REF!</definedName>
    <definedName name="현지양산" hidden="1">{#N/A,#N/A,FALSE,"단축1";#N/A,#N/A,FALSE,"단축2";#N/A,#N/A,FALSE,"단축3";#N/A,#N/A,FALSE,"장축";#N/A,#N/A,FALSE,"4WD"}</definedName>
    <definedName name="현황">#REF!</definedName>
    <definedName name="협의" hidden="1">{#N/A,#N/A,FALSE,"단축1";#N/A,#N/A,FALSE,"단축2";#N/A,#N/A,FALSE,"단축3";#N/A,#N/A,FALSE,"장축";#N/A,#N/A,FALSE,"4WD"}</definedName>
    <definedName name="협전">#REF!</definedName>
    <definedName name="협조전">#REF!</definedName>
    <definedName name="형지양산" hidden="1">{#N/A,#N/A,FALSE,"단축1";#N/A,#N/A,FALSE,"단축2";#N/A,#N/A,FALSE,"단축3";#N/A,#N/A,FALSE,"장축";#N/A,#N/A,FALSE,"4WD"}</definedName>
    <definedName name="호" hidden="1">{#N/A,#N/A,TRUE,"Y생산";#N/A,#N/A,TRUE,"Y판매";#N/A,#N/A,TRUE,"Y총물량";#N/A,#N/A,TRUE,"Y능력";#N/A,#N/A,TRUE,"YKD"}</definedName>
    <definedName name="호하ㅣHJHH" hidden="1">{#N/A,#N/A,TRUE,"Y생산";#N/A,#N/A,TRUE,"Y판매";#N/A,#N/A,TRUE,"Y총물량";#N/A,#N/A,TRUE,"Y능력";#N/A,#N/A,TRUE,"YKD"}</definedName>
    <definedName name="호호호호호홓">#REF!</definedName>
    <definedName name="호환율">#REF!</definedName>
    <definedName name="호ㅓㅎ">#REF!</definedName>
    <definedName name="호ㅓㅏ" hidden="1">{#N/A,#N/A,FALSE,"96 3월물량표";#N/A,#N/A,FALSE,"96 4월물량표";#N/A,#N/A,FALSE,"96 5월물량표"}</definedName>
    <definedName name="호ㅓㅗ" hidden="1">{#N/A,#N/A,FALSE,"단축1";#N/A,#N/A,FALSE,"단축2";#N/A,#N/A,FALSE,"단축3";#N/A,#N/A,FALSE,"장축";#N/A,#N/A,FALSE,"4WD"}</definedName>
    <definedName name="홀" hidden="1" xml:space="preserve">{TRUE,TRUE,-0.8,-17,963.6,637.8,FALSE,TRUE,TRUE,TRUE,0,1,#N/A,1,#N/A,18.0487804878049,42.7727272727273,1,FALSE,FALSE,3,TRUE,1,FALSE,100,"Swvu.Komplett.","ACwvu.Komplett.",#N/A,FALSE,FALSE,0.78740157480315,0.393700787401575,0.984251968503937,0.984251968503937,1,"","&amp;RH.Lehmhaus_x000d_
VV54TQ_x000d_
&amp;D",TRUE,TRUE,FALSE,FALSE,1,#N/A,1,1,"=R1C1:R67C11",FALSE,#N/A,#N/A,FALSE,FALSE,FALSE,9,300,300,FALSE,FALSE,TRUE,TRUE,TRUE}</definedName>
    <definedName name="홍" hidden="1">{#N/A,#N/A,FALSE,"96 3월물량표";#N/A,#N/A,FALSE,"96 4월물량표";#N/A,#N/A,FALSE,"96 5월물량표"}</definedName>
    <definedName name="화성1월">BlankMacro1</definedName>
    <definedName name="화성2월">BlankMacro1</definedName>
    <definedName name="확정하여_보고할것.">#REF!</definedName>
    <definedName name="환율">1.8627</definedName>
    <definedName name="환율1">#REF!</definedName>
    <definedName name="활동이력">#REF!</definedName>
    <definedName name="회신현황" hidden="1">{#N/A,#N/A,TRUE,"Y생산";#N/A,#N/A,TRUE,"Y판매";#N/A,#N/A,TRUE,"Y총물량";#N/A,#N/A,TRUE,"Y능력";#N/A,#N/A,TRUE,"YKD"}</definedName>
    <definedName name="회장1" hidden="1">{#N/A,#N/A,FALSE,"단축1";#N/A,#N/A,FALSE,"단축2";#N/A,#N/A,FALSE,"단축3";#N/A,#N/A,FALSE,"장축";#N/A,#N/A,FALSE,"4WD"}</definedName>
    <definedName name="회장님" hidden="1">{#N/A,#N/A,FALSE,"단축1";#N/A,#N/A,FALSE,"단축2";#N/A,#N/A,FALSE,"단축3";#N/A,#N/A,FALSE,"장축";#N/A,#N/A,FALSE,"4WD"}</definedName>
    <definedName name="후리휠">#REF!</definedName>
    <definedName name="흡2" hidden="1">{#N/A,#N/A,FALSE,"단축1";#N/A,#N/A,FALSE,"단축2";#N/A,#N/A,FALSE,"단축3";#N/A,#N/A,FALSE,"장축";#N/A,#N/A,FALSE,"4WD"}</definedName>
    <definedName name="흡기" hidden="1">{#N/A,#N/A,FALSE,"단축1";#N/A,#N/A,FALSE,"단축2";#N/A,#N/A,FALSE,"단축3";#N/A,#N/A,FALSE,"장축";#N/A,#N/A,FALSE,"4WD"}</definedName>
    <definedName name="흵____R3_t">#REF!</definedName>
    <definedName name="ㅏㅏ">#REF!</definedName>
    <definedName name="ㅏㅏㅏ" hidden="1">{#N/A,#N/A,TRUE,"Y생산";#N/A,#N/A,TRUE,"Y판매";#N/A,#N/A,TRUE,"Y총물량";#N/A,#N/A,TRUE,"Y능력";#N/A,#N/A,TRUE,"YKD"}</definedName>
    <definedName name="ㅏㅓ"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#REF!</definedName>
    <definedName name="ㅐㅐ">#REF!</definedName>
    <definedName name="ㅐㅑㅔ" hidden="1">{#N/A,#N/A,FALSE,"단축1";#N/A,#N/A,FALSE,"단축2";#N/A,#N/A,FALSE,"단축3";#N/A,#N/A,FALSE,"장축";#N/A,#N/A,FALSE,"4WD"}</definedName>
    <definedName name="ㅑㅎㄹㅇㅀㅀ" hidden="1">{#N/A,#N/A,FALSE,"단축1";#N/A,#N/A,FALSE,"단축2";#N/A,#N/A,FALSE,"단축3";#N/A,#N/A,FALSE,"장축";#N/A,#N/A,FALSE,"4WD"}</definedName>
    <definedName name="ㅑㅑㅏㅏㅓ" hidden="1">{#N/A,#N/A,FALSE,"단축1";#N/A,#N/A,FALSE,"단축2";#N/A,#N/A,FALSE,"단축3";#N/A,#N/A,FALSE,"장축";#N/A,#N/A,FALSE,"4WD"}</definedName>
    <definedName name="ㅑㅑㅑ">#REF!</definedName>
    <definedName name="ㅓ" hidden="1">{#N/A,#N/A,TRUE,"Y생산";#N/A,#N/A,TRUE,"Y판매";#N/A,#N/A,TRUE,"Y총물량";#N/A,#N/A,TRUE,"Y능력";#N/A,#N/A,TRUE,"YKD"}</definedName>
    <definedName name="ㅓ로럴" hidden="1">{#N/A,#N/A,FALSE,"단축1";#N/A,#N/A,FALSE,"단축2";#N/A,#N/A,FALSE,"단축3";#N/A,#N/A,FALSE,"장축";#N/A,#N/A,FALSE,"4WD"}</definedName>
    <definedName name="ㅓ샤">#REF!</definedName>
    <definedName name="ㅓㅇ영출">#REF!</definedName>
    <definedName name="ㅓㅏ">#REF!</definedName>
    <definedName name="ㅓㅏㅑㅑ8">#REF!</definedName>
    <definedName name="ㅓㅏㅗ" hidden="1">{#N/A,#N/A,FALSE,"단축1";#N/A,#N/A,FALSE,"단축2";#N/A,#N/A,FALSE,"단축3";#N/A,#N/A,FALSE,"장축";#N/A,#N/A,FALSE,"4WD"}</definedName>
    <definedName name="ㅓㅏㅛㅚㅓ">#REF!</definedName>
    <definedName name="ㅓㅏㅣ" hidden="1">{#N/A,#N/A,FALSE,"단축1";#N/A,#N/A,FALSE,"단축2";#N/A,#N/A,FALSE,"단축3";#N/A,#N/A,FALSE,"장축";#N/A,#N/A,FALSE,"4WD"}</definedName>
    <definedName name="ㅓㅓ">#REF!</definedName>
    <definedName name="ㅔ" hidden="1">{#N/A,#N/A,FALSE,"단축1";#N/A,#N/A,FALSE,"단축2";#N/A,#N/A,FALSE,"단축3";#N/A,#N/A,FALSE,"장축";#N/A,#N/A,FALSE,"4WD"}</definedName>
    <definedName name="ㅔㅑㅊ셕ㄷ15">#REF!</definedName>
    <definedName name="ㅔㅔ">#REF!</definedName>
    <definedName name="ㅔㅔㅔ">BlankMacro1</definedName>
    <definedName name="ㅕ" hidden="1">{#N/A,#N/A,FALSE,"단축1";#N/A,#N/A,FALSE,"단축2";#N/A,#N/A,FALSE,"단축3";#N/A,#N/A,FALSE,"장축";#N/A,#N/A,FALSE,"4WD"}</definedName>
    <definedName name="ㅕㅑㅕㅅㅗ">#REF!</definedName>
    <definedName name="ㅕㅕ">#REF!</definedName>
    <definedName name="ㅕㅕㅕ" hidden="1">{#N/A,#N/A,FALSE,"단축1";#N/A,#N/A,FALSE,"단축2";#N/A,#N/A,FALSE,"단축3";#N/A,#N/A,FALSE,"장축";#N/A,#N/A,FALSE,"4WD"}</definedName>
    <definedName name="ㅕㅛ쇼">#REF!</definedName>
    <definedName name="ㅕㅣㅎ" hidden="1">{#N/A,#N/A,FALSE,"단축1";#N/A,#N/A,FALSE,"단축2";#N/A,#N/A,FALSE,"단축3";#N/A,#N/A,FALSE,"장축";#N/A,#N/A,FALSE,"4WD"}</definedName>
    <definedName name="ㅖ" hidden="1">{#N/A,#N/A,FALSE,"단축1";#N/A,#N/A,FALSE,"단축2";#N/A,#N/A,FALSE,"단축3";#N/A,#N/A,FALSE,"장축";#N/A,#N/A,FALSE,"4WD"}</definedName>
    <definedName name="ㅗ" hidden="1">{#N/A,#N/A,FALSE,"단축1";#N/A,#N/A,FALSE,"단축2";#N/A,#N/A,FALSE,"단축3";#N/A,#N/A,FALSE,"장축";#N/A,#N/A,FALSE,"4WD"}</definedName>
    <definedName name="ㅗ쇼">#REF!</definedName>
    <definedName name="ㅗㅎ" hidden="1">{#N/A,#N/A,TRUE,"Y생산";#N/A,#N/A,TRUE,"Y판매";#N/A,#N/A,TRUE,"Y총물량";#N/A,#N/A,TRUE,"Y능력";#N/A,#N/A,TRUE,"YKD"}</definedName>
    <definedName name="ㅗㅎㅓ" hidden="1">{#N/A,#N/A,FALSE,"단축1";#N/A,#N/A,FALSE,"단축2";#N/A,#N/A,FALSE,"단축3";#N/A,#N/A,FALSE,"장축";#N/A,#N/A,FALSE,"4WD"}</definedName>
    <definedName name="ㅗㅓㅏ" hidden="1">#REF!</definedName>
    <definedName name="ㅗㅓㅜ" hidden="1">{#N/A,#N/A,FALSE,"단축1";#N/A,#N/A,FALSE,"단축2";#N/A,#N/A,FALSE,"단축3";#N/A,#N/A,FALSE,"장축";#N/A,#N/A,FALSE,"4WD"}</definedName>
    <definedName name="ㅗㅗ" hidden="1">{#N/A,#N/A,FALSE,"단축1";#N/A,#N/A,FALSE,"단축2";#N/A,#N/A,FALSE,"단축3";#N/A,#N/A,FALSE,"장축";#N/A,#N/A,FALSE,"4WD"}</definedName>
    <definedName name="ㅗㅗㅗ">#REF!</definedName>
    <definedName name="ㅗㅗㅗㅗ">BlankMacro1</definedName>
    <definedName name="ㅗㅗㅗㅗㅗ" hidden="1">{#N/A,#N/A,FALSE,"단축1";#N/A,#N/A,FALSE,"단축2";#N/A,#N/A,FALSE,"단축3";#N/A,#N/A,FALSE,"장축";#N/A,#N/A,FALSE,"4WD"}</definedName>
    <definedName name="ㅗㅗㅗㅗㅜㅡㅏ" hidden="1">{#N/A,#N/A,FALSE,"단축1";#N/A,#N/A,FALSE,"단축2";#N/A,#N/A,FALSE,"단축3";#N/A,#N/A,FALSE,"장축";#N/A,#N/A,FALSE,"4WD"}</definedName>
    <definedName name="ㅗㅛㅅ" hidden="1">{#N/A,#N/A,FALSE,"단축1";#N/A,#N/A,FALSE,"단축2";#N/A,#N/A,FALSE,"단축3";#N/A,#N/A,FALSE,"장축";#N/A,#N/A,FALSE,"4WD"}</definedName>
    <definedName name="ㅛ"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ㅕ셔" hidden="1">{#N/A,#N/A,FALSE,"단축1";#N/A,#N/A,FALSE,"단축2";#N/A,#N/A,FALSE,"단축3";#N/A,#N/A,FALSE,"장축";#N/A,#N/A,FALSE,"4WD"}</definedName>
    <definedName name="ㅛㅕㅏㅓㅑㅎ">#REF!</definedName>
    <definedName name="ㅛㅕㅛ솧">#REF!</definedName>
    <definedName name="ㅛㅛ">#REF!</definedName>
    <definedName name="ㅛㅛㅛ">BlankMacro1</definedName>
    <definedName name="ㅛㅛㅛㅛ">BlankMacro1</definedName>
    <definedName name="ㅜ" hidden="1">{#N/A,#N/A,FALSE,"단축1";#N/A,#N/A,FALSE,"단축2";#N/A,#N/A,FALSE,"단축3";#N/A,#N/A,FALSE,"장축";#N/A,#N/A,FALSE,"4WD"}</definedName>
    <definedName name="ㅜ리" hidden="1">{#N/A,#N/A,TRUE,"Y생산";#N/A,#N/A,TRUE,"Y판매";#N/A,#N/A,TRUE,"Y총물량";#N/A,#N/A,TRUE,"Y능력";#N/A,#N/A,TRUE,"YKD"}</definedName>
    <definedName name="ㅜㅜ">#REF!</definedName>
    <definedName name="ㅜㅜㅜ">BlankMacro1</definedName>
    <definedName name="ㅜㅜㅜㅜㅜ">#REF!</definedName>
    <definedName name="ㅜㅜㅜㅡ">#REF!</definedName>
    <definedName name="ㅜㅡㅓㅗㅎ" hidden="1">{#N/A,#N/A,FALSE,"신규dep";#N/A,#N/A,FALSE,"신규dep-금형상각후";#N/A,#N/A,FALSE,"신규dep-연구비상각후";#N/A,#N/A,FALSE,"신규dep-기계,공구상각후"}</definedName>
    <definedName name="ㅟ">#REF!</definedName>
    <definedName name="ㅠ" hidden="1">{#N/A,#N/A,FALSE,"단축1";#N/A,#N/A,FALSE,"단축2";#N/A,#N/A,FALSE,"단축3";#N/A,#N/A,FALSE,"장축";#N/A,#N/A,FALSE,"4WD"}</definedName>
    <definedName name="ㅠㅍㅇㅌㄹ" hidden="1">{#N/A,#N/A,FALSE,"단축1";#N/A,#N/A,FALSE,"단축2";#N/A,#N/A,FALSE,"단축3";#N/A,#N/A,FALSE,"장축";#N/A,#N/A,FALSE,"4WD"}</definedName>
    <definedName name="ㅠㅓㅣㅏ" hidden="1">{#N/A,#N/A,FALSE,"단축1";#N/A,#N/A,FALSE,"단축2";#N/A,#N/A,FALSE,"단축3";#N/A,#N/A,FALSE,"장축";#N/A,#N/A,FALSE,"4WD"}</definedName>
    <definedName name="ㅠㅜ">BlankMacro1</definedName>
    <definedName name="ㅠㅜㅊ" hidden="1">{#N/A,#N/A,FALSE,"단축1";#N/A,#N/A,FALSE,"단축2";#N/A,#N/A,FALSE,"단축3";#N/A,#N/A,FALSE,"장축";#N/A,#N/A,FALSE,"4WD"}</definedName>
    <definedName name="ㅠㅠㅠㅠ">BlankMacro1</definedName>
    <definedName name="ㅡㅡ">#REF!</definedName>
    <definedName name="ㅣㅏ" hidden="1">{#N/A,#N/A,FALSE,"단축1";#N/A,#N/A,FALSE,"단축2";#N/A,#N/A,FALSE,"단축3";#N/A,#N/A,FALSE,"장축";#N/A,#N/A,FALSE,"4WD"}</definedName>
    <definedName name="ㅣㅏㅓ일ㄴ어" hidden="1">{#N/A,#N/A,FALSE,"Status";#N/A,#N/A,FALSE,"Deckblatt 1";#N/A,#N/A,FALSE,"Deckblatt2"}</definedName>
    <definedName name="ㅣㅑㅓㅔ" hidden="1">#REF!</definedName>
    <definedName name="ㅣㅓㅏ" hidden="1">{#N/A,#N/A,FALSE,"단축1";#N/A,#N/A,FALSE,"단축2";#N/A,#N/A,FALSE,"단축3";#N/A,#N/A,FALSE,"장축";#N/A,#N/A,FALSE,"4WD"}</definedName>
    <definedName name="ㅣㅣ" hidden="1">{#N/A,#N/A,TRUE,"Y생산";#N/A,#N/A,TRUE,"Y판매";#N/A,#N/A,TRUE,"Y총물량";#N/A,#N/A,TRUE,"Y능력";#N/A,#N/A,TRUE,"YKD"}</definedName>
    <definedName name="ㅣㅣㅐㅐㅔ">#REF!</definedName>
    <definedName name="ㅣㅣㅣ">#REF!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0_-;\-* #,##0_-;_-* &quot;-&quot;_-;_-@_-"/>
    <numFmt numFmtId="56" formatCode="&quot;上午/下午 &quot;hh&quot;時&quot;mm&quot;分&quot;ss&quot;秒 &quot;"/>
    <numFmt numFmtId="176" formatCode="_-* #,##0.00_-;\-* #,##0.00_-;_-* &quot;-&quot;_-;_-@_-"/>
    <numFmt numFmtId="177" formatCode="_-* #,##0.0_-;\-* #,##0.0_-;_-* &quot;-&quot;_-;_-@_-"/>
    <numFmt numFmtId="178"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871"/>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U/S</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대우당진</v>
      </c>
      <c r="B7" t="str">
        <v>CN7</v>
      </c>
      <c r="C7" t="str">
        <v>65852-BY000</v>
      </c>
      <c r="D7" t="str">
        <v>MBR-RR FLR CTR CROSS (HEV)</v>
      </c>
      <c r="E7">
        <v>5015</v>
      </c>
      <c r="F7">
        <v>6200</v>
      </c>
      <c r="G7">
        <v>31093000</v>
      </c>
      <c r="I7" t="str">
        <v>대우당진</v>
      </c>
      <c r="J7" t="str">
        <v>CN7</v>
      </c>
      <c r="K7" t="str">
        <v>65852-BY000</v>
      </c>
      <c r="L7" t="str">
        <v>MBR-RR FLR CTR CROSS (HEV)</v>
      </c>
      <c r="N7">
        <v>5844</v>
      </c>
      <c r="R7">
        <v>1137</v>
      </c>
      <c r="S7">
        <v>5844</v>
      </c>
      <c r="T7" t="str">
        <v>SGARC340</v>
      </c>
      <c r="U7">
        <v>1.2</v>
      </c>
      <c r="V7">
        <v>1300</v>
      </c>
      <c r="W7">
        <v>420</v>
      </c>
      <c r="X7">
        <v>1</v>
      </c>
      <c r="Y7">
        <v>7.85</v>
      </c>
      <c r="Z7">
        <v>5.14</v>
      </c>
      <c r="AA7" t="str">
        <v>스크랩금액</v>
      </c>
      <c r="AB7">
        <v>6200</v>
      </c>
      <c r="AC7">
        <v>3.9501</v>
      </c>
      <c r="AD7">
        <v>362</v>
      </c>
      <c r="AE7">
        <v>8865604.44</v>
      </c>
    </row>
    <row r="8">
      <c r="H8" t="str">
        <v>태창금속</v>
      </c>
      <c r="I8" t="str">
        <v>태창금속</v>
      </c>
      <c r="J8" t="str">
        <v>CN7</v>
      </c>
      <c r="K8" t="str">
        <v>65852-BY000</v>
      </c>
      <c r="L8" t="str">
        <v>MBR-RR FLR CTR CROSS (HEV)</v>
      </c>
      <c r="M8">
        <v>1</v>
      </c>
      <c r="N8">
        <v>5844</v>
      </c>
      <c r="O8">
        <v>6200</v>
      </c>
      <c r="P8">
        <v>36232800</v>
      </c>
    </row>
    <row r="9">
      <c r="A9" t="str">
        <v>대우당진</v>
      </c>
      <c r="B9" t="str">
        <v>SG2</v>
      </c>
      <c r="C9" t="str">
        <v>65852-AT000</v>
      </c>
      <c r="D9" t="str">
        <v>MEMBER ASSY-RR FLOOR CTR CROSS</v>
      </c>
      <c r="E9">
        <v>4934</v>
      </c>
      <c r="F9">
        <v>7970</v>
      </c>
      <c r="G9">
        <v>39323980</v>
      </c>
      <c r="I9" t="str">
        <v>대우당진</v>
      </c>
      <c r="J9" t="str">
        <v>SG2</v>
      </c>
      <c r="K9" t="str">
        <v>65852-AT000</v>
      </c>
      <c r="L9" t="str">
        <v>MEMBER ASSY-RR FLOOR CTR CROSS</v>
      </c>
      <c r="N9">
        <v>5844</v>
      </c>
      <c r="R9">
        <v>1137</v>
      </c>
      <c r="S9">
        <v>5844</v>
      </c>
      <c r="T9" t="str">
        <v>SGARC340</v>
      </c>
      <c r="U9">
        <v>1.2</v>
      </c>
      <c r="V9">
        <v>1300</v>
      </c>
      <c r="W9">
        <v>420</v>
      </c>
      <c r="X9">
        <v>1</v>
      </c>
      <c r="Y9">
        <v>7.85</v>
      </c>
      <c r="Z9">
        <v>5.14</v>
      </c>
      <c r="AA9" t="str">
        <v>스크랩금액</v>
      </c>
      <c r="AB9">
        <v>7970</v>
      </c>
      <c r="AC9">
        <v>3.9501</v>
      </c>
      <c r="AD9">
        <v>362</v>
      </c>
      <c r="AE9">
        <v>11396591.514</v>
      </c>
    </row>
    <row r="10">
      <c r="H10" t="str">
        <v>태창금속</v>
      </c>
      <c r="I10" t="str">
        <v>태창금속</v>
      </c>
      <c r="J10" t="str">
        <v>SG2</v>
      </c>
      <c r="K10" t="str">
        <v>65722-A3000</v>
      </c>
      <c r="L10" t="str">
        <v>MBR RR FLR SIDE RH</v>
      </c>
      <c r="M10">
        <v>1</v>
      </c>
      <c r="N10">
        <v>5844</v>
      </c>
      <c r="O10">
        <v>7970</v>
      </c>
      <c r="P10">
        <v>46576680</v>
      </c>
    </row>
    <row r="11">
      <c r="A11" t="str">
        <v>대우당진</v>
      </c>
      <c r="B11" t="str">
        <v>HM</v>
      </c>
      <c r="C11" t="str">
        <v>66798-2J700</v>
      </c>
      <c r="D11" t="str">
        <v>COWL COVER FRT</v>
      </c>
      <c r="E11">
        <v>0</v>
      </c>
      <c r="F11">
        <v>0</v>
      </c>
      <c r="G11">
        <v>0</v>
      </c>
      <c r="I11" t="str">
        <v>대우당진</v>
      </c>
      <c r="J11" t="str">
        <v>HM</v>
      </c>
      <c r="K11" t="str">
        <v>66798-2J700</v>
      </c>
      <c r="L11" t="str">
        <v>COWL COVER FRT</v>
      </c>
      <c r="N11">
        <v>4309</v>
      </c>
      <c r="R11">
        <v>1174</v>
      </c>
      <c r="S11">
        <v>4309</v>
      </c>
      <c r="T11" t="str">
        <v>SGACC</v>
      </c>
      <c r="U11">
        <v>0.7</v>
      </c>
      <c r="V11">
        <v>1630</v>
      </c>
      <c r="W11">
        <v>410</v>
      </c>
      <c r="X11">
        <v>1</v>
      </c>
      <c r="Y11">
        <v>7.85</v>
      </c>
      <c r="Z11">
        <v>3.67</v>
      </c>
      <c r="AA11" t="str">
        <v>스크랩금액</v>
      </c>
      <c r="AB11">
        <v>0</v>
      </c>
      <c r="AC11">
        <v>0</v>
      </c>
      <c r="AD11">
        <v>362</v>
      </c>
      <c r="AE11">
        <v>0</v>
      </c>
    </row>
    <row r="12">
      <c r="H12" t="str">
        <v>태창금속</v>
      </c>
      <c r="I12" t="str">
        <v>태창금속</v>
      </c>
      <c r="J12" t="str">
        <v>HM</v>
      </c>
      <c r="K12" t="str">
        <v>66798-2J700</v>
      </c>
      <c r="L12" t="str">
        <v>COWL COVER FRT</v>
      </c>
      <c r="M12">
        <v>1</v>
      </c>
      <c r="N12">
        <v>4309</v>
      </c>
      <c r="O12">
        <v>0</v>
      </c>
      <c r="P12">
        <v>0</v>
      </c>
      <c r="AE12">
        <v>20262195.954</v>
      </c>
    </row>
    <row r="13">
      <c r="A13" t="str">
        <v>대우당진</v>
      </c>
      <c r="B13" t="str">
        <v>HM</v>
      </c>
      <c r="C13" t="str">
        <v>66724-2J700</v>
      </c>
      <c r="D13" t="str">
        <v>R/F COWL INR LWR</v>
      </c>
      <c r="E13">
        <v>0</v>
      </c>
      <c r="F13">
        <v>0</v>
      </c>
      <c r="G13">
        <v>0</v>
      </c>
      <c r="I13" t="str">
        <v>대우당진</v>
      </c>
      <c r="J13" t="str">
        <v>HM</v>
      </c>
      <c r="K13" t="str">
        <v>66724-2J700</v>
      </c>
      <c r="L13" t="str">
        <v>R/F COWL INR LWR</v>
      </c>
      <c r="N13">
        <v>4158</v>
      </c>
      <c r="P13">
        <v>82809480</v>
      </c>
      <c r="R13">
        <v>1245</v>
      </c>
      <c r="S13">
        <v>4158</v>
      </c>
      <c r="T13" t="str">
        <v>SGARC440</v>
      </c>
      <c r="U13">
        <v>0.8</v>
      </c>
      <c r="V13">
        <v>1660</v>
      </c>
      <c r="W13">
        <v>320</v>
      </c>
      <c r="X13">
        <v>1</v>
      </c>
      <c r="Y13">
        <v>7.85</v>
      </c>
      <c r="Z13">
        <v>3.34</v>
      </c>
      <c r="AA13" t="str">
        <v>스크랩금액</v>
      </c>
      <c r="AB13">
        <v>0</v>
      </c>
      <c r="AC13">
        <v>0</v>
      </c>
      <c r="AD13">
        <v>362</v>
      </c>
      <c r="AE13">
        <v>0</v>
      </c>
    </row>
    <row r="14">
      <c r="G14">
        <v>70416980</v>
      </c>
      <c r="H14" t="str">
        <v>태창금속</v>
      </c>
      <c r="I14" t="str">
        <v>태창금속</v>
      </c>
      <c r="J14" t="str">
        <v>HM</v>
      </c>
      <c r="K14" t="str">
        <v>66724-2J700</v>
      </c>
      <c r="L14" t="str">
        <v>R/F COWL INR LWR</v>
      </c>
      <c r="M14">
        <v>1</v>
      </c>
      <c r="N14">
        <v>4158</v>
      </c>
      <c r="O14">
        <v>0</v>
      </c>
      <c r="P14">
        <v>0</v>
      </c>
    </row>
    <row r="15">
      <c r="A15" t="str">
        <v>대우포승</v>
      </c>
      <c r="B15" t="str">
        <v>DL3</v>
      </c>
      <c r="C15" t="str">
        <v>65852-L3000</v>
      </c>
      <c r="D15" t="str">
        <v>MBR RR FLR CTR CROSS</v>
      </c>
      <c r="E15">
        <v>2919</v>
      </c>
      <c r="F15">
        <v>1236</v>
      </c>
      <c r="G15">
        <v>3607884</v>
      </c>
      <c r="I15" t="str">
        <v>대우포승</v>
      </c>
      <c r="J15" t="str">
        <v>GL3</v>
      </c>
      <c r="K15" t="str">
        <v>65852-L3000</v>
      </c>
      <c r="L15" t="str">
        <v>MBR RR FLR CTR CROSS</v>
      </c>
      <c r="N15">
        <v>2942</v>
      </c>
      <c r="R15">
        <v>1268</v>
      </c>
      <c r="S15">
        <v>2942</v>
      </c>
      <c r="T15" t="str">
        <v>SGAFC590</v>
      </c>
      <c r="U15">
        <v>0.9</v>
      </c>
      <c r="V15">
        <v>730</v>
      </c>
      <c r="W15">
        <v>450</v>
      </c>
      <c r="X15">
        <v>1</v>
      </c>
      <c r="Y15">
        <v>7.85</v>
      </c>
      <c r="Z15">
        <v>2.32</v>
      </c>
      <c r="AA15" t="str">
        <v>스크랩금액</v>
      </c>
      <c r="AB15">
        <v>1236</v>
      </c>
      <c r="AC15">
        <v>0.9588</v>
      </c>
      <c r="AD15">
        <v>362</v>
      </c>
      <c r="AE15">
        <v>428997.8016</v>
      </c>
    </row>
    <row r="16">
      <c r="H16" t="str">
        <v>태창금속</v>
      </c>
      <c r="I16" t="str">
        <v>태창금속</v>
      </c>
      <c r="J16" t="str">
        <v>GL3</v>
      </c>
      <c r="K16" t="str">
        <v>65852-L3000</v>
      </c>
      <c r="L16" t="str">
        <v>MBR RR FLR CTR CROSS</v>
      </c>
      <c r="M16">
        <v>1</v>
      </c>
      <c r="N16">
        <v>2942</v>
      </c>
      <c r="O16">
        <v>1236</v>
      </c>
      <c r="P16">
        <v>3636312</v>
      </c>
    </row>
    <row r="17">
      <c r="A17" t="str">
        <v>대우포승</v>
      </c>
      <c r="B17" t="str">
        <v>DL3</v>
      </c>
      <c r="C17" t="str">
        <v>65522-L8400</v>
      </c>
      <c r="D17" t="str">
        <v>EXTN RR FLR FRT</v>
      </c>
      <c r="E17">
        <v>5170</v>
      </c>
      <c r="F17">
        <v>1236</v>
      </c>
      <c r="G17">
        <v>6390120</v>
      </c>
      <c r="I17" t="str">
        <v>대우포승</v>
      </c>
      <c r="J17" t="str">
        <v>GL3</v>
      </c>
      <c r="K17" t="str">
        <v>65522-L8400</v>
      </c>
      <c r="L17" t="str">
        <v>EXTN RR FLR FRT</v>
      </c>
      <c r="N17">
        <v>6112</v>
      </c>
      <c r="R17">
        <v>1268</v>
      </c>
      <c r="S17">
        <v>6112</v>
      </c>
      <c r="T17" t="str">
        <v>SGARC440</v>
      </c>
      <c r="U17">
        <v>0.9</v>
      </c>
      <c r="V17">
        <v>1490</v>
      </c>
      <c r="W17">
        <v>458</v>
      </c>
      <c r="X17">
        <v>1</v>
      </c>
      <c r="Y17">
        <v>7.85</v>
      </c>
      <c r="Z17">
        <v>4.82</v>
      </c>
      <c r="AA17" t="str">
        <v>스크랩금액</v>
      </c>
      <c r="AB17">
        <v>1236</v>
      </c>
      <c r="AC17">
        <v>0.9588</v>
      </c>
      <c r="AD17">
        <v>362</v>
      </c>
      <c r="AE17">
        <v>428997.8016</v>
      </c>
    </row>
    <row r="18">
      <c r="H18" t="str">
        <v>태창금속</v>
      </c>
      <c r="I18" t="str">
        <v>태창금속</v>
      </c>
      <c r="J18" t="str">
        <v>GL3</v>
      </c>
      <c r="K18" t="str">
        <v>65522-L8400</v>
      </c>
      <c r="L18" t="str">
        <v>EXTN RR FLR FRT</v>
      </c>
      <c r="M18">
        <v>1</v>
      </c>
      <c r="N18">
        <v>6112</v>
      </c>
      <c r="O18">
        <v>1236</v>
      </c>
      <c r="P18">
        <v>7554432</v>
      </c>
    </row>
    <row r="19">
      <c r="A19" t="str">
        <v>대우포승</v>
      </c>
      <c r="B19" t="str">
        <v>DL3</v>
      </c>
      <c r="C19" t="str">
        <v>65630-L2000</v>
      </c>
      <c r="D19" t="str">
        <v>PNL &amp; MBR ASS'Y RR FLR COMPLE 일반 BENCH</v>
      </c>
      <c r="E19">
        <v>13684</v>
      </c>
      <c r="F19">
        <v>6551</v>
      </c>
      <c r="G19">
        <v>89643884</v>
      </c>
      <c r="I19" t="str">
        <v>대우포승</v>
      </c>
      <c r="J19" t="str">
        <v>DL3</v>
      </c>
      <c r="K19" t="str">
        <v>65630-L2000</v>
      </c>
      <c r="L19" t="str">
        <v>PNL &amp; MBR ASS'Y RR FLR COMPLE 일반 BENCH</v>
      </c>
      <c r="N19">
        <v>11724.980000000001</v>
      </c>
    </row>
    <row r="20">
      <c r="H20" t="str">
        <v>사급</v>
      </c>
      <c r="I20" t="str">
        <v>대우포승 사급</v>
      </c>
      <c r="J20" t="str">
        <v>DL3</v>
      </c>
      <c r="K20" t="str">
        <v>65852-L2000</v>
      </c>
      <c r="L20" t="str">
        <v>MBR-RR FLR CTR CROSS</v>
      </c>
      <c r="M20">
        <v>1</v>
      </c>
      <c r="N20">
        <v>3022</v>
      </c>
      <c r="O20">
        <v>6551</v>
      </c>
      <c r="P20">
        <v>19797122</v>
      </c>
    </row>
    <row r="21">
      <c r="H21" t="str">
        <v>하드웨어</v>
      </c>
      <c r="I21" t="str">
        <v>삼진스틸</v>
      </c>
      <c r="K21" t="str">
        <v>13194-08220</v>
      </c>
      <c r="L21" t="str">
        <v>CAP NUT M8</v>
      </c>
      <c r="M21">
        <v>2</v>
      </c>
      <c r="N21">
        <v>101.3</v>
      </c>
      <c r="O21">
        <v>6551</v>
      </c>
      <c r="P21">
        <v>1327232.5999999999</v>
      </c>
    </row>
    <row r="22">
      <c r="H22" t="str">
        <v>사급</v>
      </c>
      <c r="I22" t="str">
        <v>대우포승 사급</v>
      </c>
      <c r="J22" t="str">
        <v>DL3</v>
      </c>
      <c r="K22" t="str">
        <v>65916-L1000</v>
      </c>
      <c r="L22" t="str">
        <v>SUPT F/TANK BAND RR MTG BRK</v>
      </c>
      <c r="M22">
        <v>1</v>
      </c>
      <c r="N22">
        <v>89</v>
      </c>
      <c r="O22">
        <v>6551</v>
      </c>
      <c r="P22">
        <v>583039</v>
      </c>
    </row>
    <row r="23">
      <c r="H23" t="str">
        <v>하드웨어</v>
      </c>
      <c r="I23" t="str">
        <v>아신금속</v>
      </c>
      <c r="K23" t="str">
        <v>65639-3K000</v>
      </c>
      <c r="L23" t="str">
        <v>MTG BOLT M10*60</v>
      </c>
      <c r="M23">
        <v>1</v>
      </c>
      <c r="N23">
        <v>151.1</v>
      </c>
      <c r="O23">
        <v>6551</v>
      </c>
      <c r="P23">
        <v>989856.1</v>
      </c>
    </row>
    <row r="24">
      <c r="H24" t="str">
        <v>사급</v>
      </c>
      <c r="I24" t="str">
        <v>대우포승 사급</v>
      </c>
      <c r="J24" t="str">
        <v>DL3</v>
      </c>
      <c r="K24" t="str">
        <v>65916-L1000</v>
      </c>
      <c r="L24" t="str">
        <v>SUPT F/TANK BAND RR MTG BRK</v>
      </c>
      <c r="M24">
        <v>1</v>
      </c>
      <c r="N24">
        <v>89</v>
      </c>
      <c r="O24">
        <v>6551</v>
      </c>
      <c r="P24">
        <v>583039</v>
      </c>
    </row>
    <row r="25">
      <c r="H25" t="str">
        <v>하드웨어</v>
      </c>
      <c r="I25" t="str">
        <v>아신금속</v>
      </c>
      <c r="K25" t="str">
        <v>65639-3K000</v>
      </c>
      <c r="L25" t="str">
        <v>MTG BOLT M10*60</v>
      </c>
      <c r="M25">
        <v>1</v>
      </c>
      <c r="N25">
        <v>151.1</v>
      </c>
      <c r="O25">
        <v>6551</v>
      </c>
      <c r="P25">
        <v>989856.1</v>
      </c>
    </row>
    <row r="26">
      <c r="H26" t="str">
        <v>사급</v>
      </c>
      <c r="I26" t="str">
        <v>대우포승 사급</v>
      </c>
      <c r="J26" t="str">
        <v>DL3</v>
      </c>
      <c r="K26" t="str">
        <v>65412-L1000</v>
      </c>
      <c r="L26" t="str">
        <v>AREINF ASS’Y RR S/BELT ANCH LH</v>
      </c>
      <c r="M26">
        <v>1</v>
      </c>
      <c r="N26">
        <v>828</v>
      </c>
      <c r="O26">
        <v>6551</v>
      </c>
      <c r="P26">
        <v>5424228</v>
      </c>
    </row>
    <row r="27">
      <c r="H27" t="str">
        <v>하드웨어</v>
      </c>
      <c r="I27" t="str">
        <v>삼진스틸</v>
      </c>
      <c r="K27" t="str">
        <v>19353-07250</v>
      </c>
      <c r="L27" t="str">
        <v>NUT (F/CAP형)7/16-2UNF</v>
      </c>
      <c r="M27">
        <v>1</v>
      </c>
      <c r="N27">
        <v>181.14</v>
      </c>
      <c r="O27">
        <v>6551</v>
      </c>
      <c r="P27">
        <v>1186648.14</v>
      </c>
    </row>
    <row r="28">
      <c r="H28" t="str">
        <v>사급</v>
      </c>
      <c r="I28" t="str">
        <v>대우포승 사급</v>
      </c>
      <c r="J28" t="str">
        <v>DL3</v>
      </c>
      <c r="K28" t="str">
        <v>65422-L1000</v>
      </c>
      <c r="L28" t="str">
        <v>AREINF ASS’Y RR S/BELT ANCH RH</v>
      </c>
      <c r="M28">
        <v>1</v>
      </c>
      <c r="N28">
        <v>831</v>
      </c>
      <c r="O28">
        <v>6551</v>
      </c>
      <c r="P28">
        <v>5443881</v>
      </c>
    </row>
    <row r="29">
      <c r="H29" t="str">
        <v>하드웨어</v>
      </c>
      <c r="I29" t="str">
        <v>삼진스틸</v>
      </c>
      <c r="K29" t="str">
        <v>19353-07250</v>
      </c>
      <c r="L29" t="str">
        <v>NUT (F/CAP형)7/16-2UNF</v>
      </c>
      <c r="M29">
        <v>1</v>
      </c>
      <c r="N29">
        <v>181.14</v>
      </c>
      <c r="O29">
        <v>6551</v>
      </c>
      <c r="P29">
        <v>1186648.14</v>
      </c>
    </row>
    <row r="30">
      <c r="H30" t="str">
        <v>사급</v>
      </c>
      <c r="I30" t="str">
        <v>대우포승 사급</v>
      </c>
      <c r="J30" t="str">
        <v>DL3</v>
      </c>
      <c r="K30" t="str">
        <v>657N2-L1000</v>
      </c>
      <c r="L30" t="str">
        <v xml:space="preserve">MBR CANISTER MTG LH </v>
      </c>
      <c r="M30">
        <v>1</v>
      </c>
      <c r="N30">
        <v>990</v>
      </c>
      <c r="O30">
        <v>6551</v>
      </c>
      <c r="P30">
        <v>6485490</v>
      </c>
    </row>
    <row r="31">
      <c r="H31" t="str">
        <v>하드웨어</v>
      </c>
      <c r="I31" t="str">
        <v>삼진스틸</v>
      </c>
      <c r="K31" t="str">
        <v>13911-08001</v>
      </c>
      <c r="L31" t="str">
        <v>W/NUT T형 M08*1.25P</v>
      </c>
      <c r="M31">
        <v>1</v>
      </c>
      <c r="N31">
        <v>53.6</v>
      </c>
      <c r="O31">
        <v>6551</v>
      </c>
      <c r="P31">
        <v>351133.60000000003</v>
      </c>
    </row>
    <row r="32">
      <c r="H32" t="str">
        <v>사급</v>
      </c>
      <c r="I32" t="str">
        <v>대우포승 사급</v>
      </c>
      <c r="J32" t="str">
        <v>DL3</v>
      </c>
      <c r="K32" t="str">
        <v>657P2-L1000</v>
      </c>
      <c r="L32" t="str">
        <v xml:space="preserve">MBR CANISTER MTG RH </v>
      </c>
      <c r="M32">
        <v>1</v>
      </c>
      <c r="N32">
        <v>949</v>
      </c>
      <c r="O32">
        <v>6551</v>
      </c>
      <c r="P32">
        <v>6216899</v>
      </c>
    </row>
    <row r="33">
      <c r="H33" t="str">
        <v>하드웨어</v>
      </c>
      <c r="I33" t="str">
        <v>삼진스틸</v>
      </c>
      <c r="K33" t="str">
        <v>13911-08001</v>
      </c>
      <c r="L33" t="str">
        <v>W/NUT T형 M08*1.25P</v>
      </c>
      <c r="M33">
        <v>1</v>
      </c>
      <c r="N33">
        <v>53.6</v>
      </c>
      <c r="O33">
        <v>6551</v>
      </c>
      <c r="P33">
        <v>351133.60000000003</v>
      </c>
    </row>
    <row r="34">
      <c r="H34" t="str">
        <v>사급</v>
      </c>
      <c r="I34" t="str">
        <v>대우포승 사급</v>
      </c>
      <c r="J34" t="str">
        <v>DL3</v>
      </c>
      <c r="K34" t="str">
        <v>655N6-L1000</v>
      </c>
      <c r="L34" t="str">
        <v>BRKT RR STIFFNER BRACE LH</v>
      </c>
      <c r="M34">
        <v>1</v>
      </c>
      <c r="N34">
        <v>1184</v>
      </c>
      <c r="O34">
        <v>6551</v>
      </c>
      <c r="P34">
        <v>7756384</v>
      </c>
    </row>
    <row r="35">
      <c r="H35" t="str">
        <v>하드웨어</v>
      </c>
      <c r="I35" t="str">
        <v>삼진스틸</v>
      </c>
      <c r="K35" t="str">
        <v>13917-10120</v>
      </c>
      <c r="L35" t="str">
        <v>NUT (사1)M10*1.25P*12H</v>
      </c>
      <c r="M35">
        <v>2</v>
      </c>
      <c r="N35">
        <v>49.5</v>
      </c>
      <c r="O35">
        <v>6551</v>
      </c>
      <c r="P35">
        <v>648549</v>
      </c>
    </row>
    <row r="36">
      <c r="H36" t="str">
        <v>사급</v>
      </c>
      <c r="I36" t="str">
        <v>대우포승 사급</v>
      </c>
      <c r="J36" t="str">
        <v>DL3</v>
      </c>
      <c r="K36" t="str">
        <v>655P6-L1000</v>
      </c>
      <c r="L36" t="str">
        <v>BRKT RR STIFFNER BRACE RH</v>
      </c>
      <c r="M36">
        <v>1</v>
      </c>
      <c r="N36">
        <v>1184</v>
      </c>
      <c r="O36">
        <v>6551</v>
      </c>
      <c r="P36">
        <v>7756384</v>
      </c>
    </row>
    <row r="37">
      <c r="H37" t="str">
        <v>하드웨어</v>
      </c>
      <c r="I37" t="str">
        <v>삼진스틸</v>
      </c>
      <c r="K37" t="str">
        <v>13917-10120</v>
      </c>
      <c r="L37" t="str">
        <v>NUT (사1)M10*1.25P*12H</v>
      </c>
      <c r="M37">
        <v>2</v>
      </c>
      <c r="N37">
        <v>49.5</v>
      </c>
      <c r="O37">
        <v>6551</v>
      </c>
      <c r="P37">
        <v>648549</v>
      </c>
    </row>
    <row r="38">
      <c r="H38" t="str">
        <v>사급</v>
      </c>
      <c r="I38" t="str">
        <v>대우포승 사급</v>
      </c>
      <c r="K38" t="str">
        <v>65832-L1000</v>
      </c>
      <c r="L38" t="str">
        <v>MBR RR FLR RR CROSS</v>
      </c>
      <c r="M38">
        <v>1</v>
      </c>
      <c r="N38">
        <v>1587</v>
      </c>
      <c r="O38">
        <v>6551</v>
      </c>
      <c r="P38">
        <v>10396437</v>
      </c>
    </row>
    <row r="39">
      <c r="A39" t="str">
        <v>대우포승</v>
      </c>
      <c r="B39" t="str">
        <v>DL3</v>
      </c>
      <c r="C39" t="str">
        <v>65630-L2010</v>
      </c>
      <c r="D39" t="str">
        <v>PNL &amp; MBR ASS'Y RR FLR COMPLE 일반 FOLD'G</v>
      </c>
      <c r="E39">
        <v>13396</v>
      </c>
      <c r="F39">
        <v>2472</v>
      </c>
      <c r="G39">
        <v>33114912</v>
      </c>
      <c r="I39" t="str">
        <v>대우포승</v>
      </c>
      <c r="J39" t="str">
        <v>DL3</v>
      </c>
      <c r="K39" t="str">
        <v>65630-L2010</v>
      </c>
      <c r="L39" t="str">
        <v>PNL &amp; MBR ASS'Y RR FLR COMPLE 일반 FOLD'G</v>
      </c>
      <c r="N39">
        <v>11623.68</v>
      </c>
    </row>
    <row r="40">
      <c r="H40" t="str">
        <v>사급</v>
      </c>
      <c r="I40" t="str">
        <v>대우포승 사급</v>
      </c>
      <c r="J40" t="str">
        <v>DL3</v>
      </c>
      <c r="K40" t="str">
        <v>65852-L2000</v>
      </c>
      <c r="L40" t="str">
        <v>MBR-RR FLR CTR CROSS</v>
      </c>
      <c r="M40">
        <v>1</v>
      </c>
      <c r="N40">
        <v>3022</v>
      </c>
      <c r="O40">
        <v>2472</v>
      </c>
      <c r="P40">
        <v>7470384</v>
      </c>
    </row>
    <row r="41">
      <c r="H41" t="str">
        <v>사급</v>
      </c>
      <c r="I41" t="str">
        <v>대우포승 사급</v>
      </c>
      <c r="J41" t="str">
        <v>DL3</v>
      </c>
      <c r="K41" t="str">
        <v>65916-L1000</v>
      </c>
      <c r="L41" t="str">
        <v>SUPT F/TANK BAND RR MTG BRK</v>
      </c>
      <c r="M41">
        <v>1</v>
      </c>
      <c r="N41">
        <v>89</v>
      </c>
      <c r="O41">
        <v>2472</v>
      </c>
      <c r="P41">
        <v>220008</v>
      </c>
    </row>
    <row r="42">
      <c r="H42" t="str">
        <v>하드웨어</v>
      </c>
      <c r="I42" t="str">
        <v>아신금속</v>
      </c>
      <c r="K42" t="str">
        <v>65639-3K000</v>
      </c>
      <c r="L42" t="str">
        <v>MTG BOLT M10*60</v>
      </c>
      <c r="M42">
        <v>1</v>
      </c>
      <c r="N42">
        <v>151.1</v>
      </c>
      <c r="O42">
        <v>2472</v>
      </c>
      <c r="P42">
        <v>373519.2</v>
      </c>
    </row>
    <row r="43">
      <c r="H43" t="str">
        <v>사급</v>
      </c>
      <c r="I43" t="str">
        <v>대우포승 사급</v>
      </c>
      <c r="J43" t="str">
        <v>DL3</v>
      </c>
      <c r="K43" t="str">
        <v>65916-L1000</v>
      </c>
      <c r="L43" t="str">
        <v>SUPT F/TANK BAND RR MTG BRK</v>
      </c>
      <c r="M43">
        <v>1</v>
      </c>
      <c r="N43">
        <v>89</v>
      </c>
      <c r="O43">
        <v>2472</v>
      </c>
      <c r="P43">
        <v>220008</v>
      </c>
    </row>
    <row r="44">
      <c r="H44" t="str">
        <v>하드웨어</v>
      </c>
      <c r="I44" t="str">
        <v>아신금속</v>
      </c>
      <c r="K44" t="str">
        <v>65639-3K000</v>
      </c>
      <c r="L44" t="str">
        <v>MTG BOLT M10*60</v>
      </c>
      <c r="M44">
        <v>1</v>
      </c>
      <c r="N44">
        <v>151.1</v>
      </c>
      <c r="O44">
        <v>2472</v>
      </c>
      <c r="P44">
        <v>373519.2</v>
      </c>
    </row>
    <row r="45">
      <c r="H45" t="str">
        <v>사급</v>
      </c>
      <c r="I45" t="str">
        <v>대우포승 사급</v>
      </c>
      <c r="J45" t="str">
        <v>DL3</v>
      </c>
      <c r="K45" t="str">
        <v>65412-L1000</v>
      </c>
      <c r="L45" t="str">
        <v>AREINF ASS’Y RR S/BELT ANCH LH</v>
      </c>
      <c r="M45">
        <v>1</v>
      </c>
      <c r="N45">
        <v>828</v>
      </c>
      <c r="O45">
        <v>2472</v>
      </c>
      <c r="P45">
        <v>2046816</v>
      </c>
    </row>
    <row r="46">
      <c r="H46" t="str">
        <v>하드웨어</v>
      </c>
      <c r="I46" t="str">
        <v>삼진스틸</v>
      </c>
      <c r="K46" t="str">
        <v>19353-07250</v>
      </c>
      <c r="L46" t="str">
        <v>NUT (F/CAP형)7/16-2UNF</v>
      </c>
      <c r="M46">
        <v>1</v>
      </c>
      <c r="N46">
        <v>181.14</v>
      </c>
      <c r="O46">
        <v>2472</v>
      </c>
      <c r="P46">
        <v>447778.07999999996</v>
      </c>
    </row>
    <row r="47">
      <c r="H47" t="str">
        <v>사급</v>
      </c>
      <c r="I47" t="str">
        <v>대우포승 사급</v>
      </c>
      <c r="J47" t="str">
        <v>DL3</v>
      </c>
      <c r="K47" t="str">
        <v>65422-L1000</v>
      </c>
      <c r="L47" t="str">
        <v>AREINF ASS’Y RR S/BELT ANCH RH</v>
      </c>
      <c r="M47">
        <v>1</v>
      </c>
      <c r="N47">
        <v>831</v>
      </c>
      <c r="O47">
        <v>2472</v>
      </c>
      <c r="P47">
        <v>2054232</v>
      </c>
    </row>
    <row r="48">
      <c r="H48" t="str">
        <v>하드웨어</v>
      </c>
      <c r="I48" t="str">
        <v>삼진스틸</v>
      </c>
      <c r="K48" t="str">
        <v>19353-07250</v>
      </c>
      <c r="L48" t="str">
        <v>NUT (F/CAP형)7/16-2UNF</v>
      </c>
      <c r="M48">
        <v>1</v>
      </c>
      <c r="N48">
        <v>181.14</v>
      </c>
      <c r="O48">
        <v>2472</v>
      </c>
      <c r="P48">
        <v>447778.07999999996</v>
      </c>
    </row>
    <row r="49">
      <c r="H49" t="str">
        <v>사급</v>
      </c>
      <c r="I49" t="str">
        <v>대우포승 사급</v>
      </c>
      <c r="J49" t="str">
        <v>DL3</v>
      </c>
      <c r="K49" t="str">
        <v>657N2-L1000</v>
      </c>
      <c r="L49" t="str">
        <v xml:space="preserve">MBR CANISTER MTG LH </v>
      </c>
      <c r="M49">
        <v>1</v>
      </c>
      <c r="N49">
        <v>990</v>
      </c>
      <c r="O49">
        <v>2472</v>
      </c>
      <c r="P49">
        <v>2447280</v>
      </c>
    </row>
    <row r="50">
      <c r="H50" t="str">
        <v>하드웨어</v>
      </c>
      <c r="I50" t="str">
        <v>삼진스틸</v>
      </c>
      <c r="K50" t="str">
        <v>13911-08001</v>
      </c>
      <c r="L50" t="str">
        <v>W/NUT T형 M08*1.25P</v>
      </c>
      <c r="M50">
        <v>1</v>
      </c>
      <c r="N50">
        <v>53.6</v>
      </c>
      <c r="O50">
        <v>2472</v>
      </c>
      <c r="P50">
        <v>132499.2</v>
      </c>
    </row>
    <row r="51">
      <c r="H51" t="str">
        <v>사급</v>
      </c>
      <c r="I51" t="str">
        <v>대우포승 사급</v>
      </c>
      <c r="J51" t="str">
        <v>DL3</v>
      </c>
      <c r="K51" t="str">
        <v>657P2-L1000</v>
      </c>
      <c r="L51" t="str">
        <v xml:space="preserve">MBR CANISTER MTG RH </v>
      </c>
      <c r="M51">
        <v>1</v>
      </c>
      <c r="N51">
        <v>949</v>
      </c>
      <c r="O51">
        <v>2472</v>
      </c>
      <c r="P51">
        <v>2345928</v>
      </c>
    </row>
    <row r="52">
      <c r="H52" t="str">
        <v>하드웨어</v>
      </c>
      <c r="I52" t="str">
        <v>삼진스틸</v>
      </c>
      <c r="K52" t="str">
        <v>13911-08001</v>
      </c>
      <c r="L52" t="str">
        <v>W/NUT T형 M08*1.25P</v>
      </c>
      <c r="M52">
        <v>1</v>
      </c>
      <c r="N52">
        <v>53.6</v>
      </c>
      <c r="O52">
        <v>2472</v>
      </c>
      <c r="P52">
        <v>132499.2</v>
      </c>
    </row>
    <row r="53">
      <c r="H53" t="str">
        <v>사급</v>
      </c>
      <c r="I53" t="str">
        <v>대우포승 사급</v>
      </c>
      <c r="J53" t="str">
        <v>DL3</v>
      </c>
      <c r="K53" t="str">
        <v>655N6-L1000</v>
      </c>
      <c r="L53" t="str">
        <v>BRKT RR STIFFNER BRACE LH</v>
      </c>
      <c r="M53">
        <v>1</v>
      </c>
      <c r="N53">
        <v>1184</v>
      </c>
      <c r="O53">
        <v>2472</v>
      </c>
      <c r="P53">
        <v>2926848</v>
      </c>
    </row>
    <row r="54">
      <c r="H54" t="str">
        <v>하드웨어</v>
      </c>
      <c r="I54" t="str">
        <v>삼진스틸</v>
      </c>
      <c r="K54" t="str">
        <v>13917-10120</v>
      </c>
      <c r="L54" t="str">
        <v>NUT (사1)M10*1.25P*12H</v>
      </c>
      <c r="M54">
        <v>2</v>
      </c>
      <c r="N54">
        <v>49.5</v>
      </c>
      <c r="O54">
        <v>2472</v>
      </c>
      <c r="P54">
        <v>244728</v>
      </c>
    </row>
    <row r="55">
      <c r="H55" t="str">
        <v>사급</v>
      </c>
      <c r="I55" t="str">
        <v>대우포승 사급</v>
      </c>
      <c r="J55" t="str">
        <v>DL3</v>
      </c>
      <c r="K55" t="str">
        <v>655P6-L1000</v>
      </c>
      <c r="L55" t="str">
        <v>BRKT RR STIFFNER BRACE RH</v>
      </c>
      <c r="M55">
        <v>1</v>
      </c>
      <c r="N55">
        <v>1184</v>
      </c>
      <c r="O55">
        <v>2472</v>
      </c>
      <c r="P55">
        <v>2926848</v>
      </c>
    </row>
    <row r="56">
      <c r="H56" t="str">
        <v>하드웨어</v>
      </c>
      <c r="I56" t="str">
        <v>삼진스틸</v>
      </c>
      <c r="K56" t="str">
        <v>13917-10120</v>
      </c>
      <c r="L56" t="str">
        <v>NUT (사1)M10*1.25P*12H</v>
      </c>
      <c r="M56">
        <v>2</v>
      </c>
      <c r="N56">
        <v>49.5</v>
      </c>
      <c r="O56">
        <v>2472</v>
      </c>
      <c r="P56">
        <v>244728</v>
      </c>
    </row>
    <row r="57">
      <c r="H57" t="str">
        <v>사급</v>
      </c>
      <c r="I57" t="str">
        <v>대우포승 사급</v>
      </c>
      <c r="K57" t="str">
        <v>65832-L1000</v>
      </c>
      <c r="L57" t="str">
        <v>MBR RR FLR RR CROSS</v>
      </c>
      <c r="M57">
        <v>1</v>
      </c>
      <c r="N57">
        <v>1587</v>
      </c>
      <c r="O57">
        <v>2472</v>
      </c>
      <c r="P57">
        <v>3923064</v>
      </c>
    </row>
    <row r="58">
      <c r="A58" t="str">
        <v>대우포승</v>
      </c>
      <c r="B58" t="str">
        <v>DL3</v>
      </c>
      <c r="C58" t="str">
        <v>65630-L2020</v>
      </c>
      <c r="D58" t="str">
        <v>PNL &amp; MBR ASS'Y RR FLR COMPLE 일반 LPI</v>
      </c>
      <c r="E58">
        <v>12929</v>
      </c>
      <c r="F58">
        <v>1236</v>
      </c>
      <c r="G58">
        <v>15980244</v>
      </c>
      <c r="I58" t="str">
        <v>대우포승</v>
      </c>
      <c r="J58" t="str">
        <v>DL3</v>
      </c>
      <c r="K58" t="str">
        <v>65630-L2020</v>
      </c>
      <c r="L58" t="str">
        <v>PNL &amp; MBR ASS'Y RR FLR COMPLE 일반 LPI</v>
      </c>
      <c r="N58">
        <v>11256.18</v>
      </c>
    </row>
    <row r="59">
      <c r="H59" t="str">
        <v>사급</v>
      </c>
      <c r="I59" t="str">
        <v>대우포승 사급</v>
      </c>
      <c r="J59" t="str">
        <v>DL3</v>
      </c>
      <c r="K59" t="str">
        <v>65852-L2000</v>
      </c>
      <c r="L59" t="str">
        <v>MBR-RR FLR CTR CROSS</v>
      </c>
      <c r="M59">
        <v>1</v>
      </c>
      <c r="N59">
        <v>3022</v>
      </c>
      <c r="O59">
        <v>1236</v>
      </c>
      <c r="P59">
        <v>3735192</v>
      </c>
    </row>
    <row r="60">
      <c r="H60" t="str">
        <v>하드웨어</v>
      </c>
      <c r="I60" t="str">
        <v>삼진스틸</v>
      </c>
      <c r="K60" t="str">
        <v>13194-08220</v>
      </c>
      <c r="L60" t="str">
        <v>CAP NUT M8</v>
      </c>
      <c r="M60">
        <v>2</v>
      </c>
      <c r="N60">
        <v>101.3</v>
      </c>
      <c r="O60">
        <v>1236</v>
      </c>
      <c r="P60">
        <v>250413.6</v>
      </c>
    </row>
    <row r="61">
      <c r="H61" t="str">
        <v>하드웨어</v>
      </c>
      <c r="I61" t="str">
        <v>삼진스틸</v>
      </c>
      <c r="K61" t="str">
        <v>13905-06000</v>
      </c>
      <c r="L61" t="str">
        <v>M6 NUT</v>
      </c>
      <c r="M61">
        <v>3</v>
      </c>
      <c r="N61">
        <v>11.400000000000002</v>
      </c>
      <c r="O61">
        <v>1236</v>
      </c>
      <c r="P61">
        <v>42271.20000000001</v>
      </c>
    </row>
    <row r="62">
      <c r="H62" t="str">
        <v>사급</v>
      </c>
      <c r="I62" t="str">
        <v>대우포승 사급</v>
      </c>
      <c r="J62" t="str">
        <v>DL3</v>
      </c>
      <c r="K62" t="str">
        <v>65412-L1000</v>
      </c>
      <c r="L62" t="str">
        <v>AREINF ASS’Y RR S/BELT ANCH LH</v>
      </c>
      <c r="M62">
        <v>1</v>
      </c>
      <c r="N62">
        <v>828</v>
      </c>
      <c r="O62">
        <v>1236</v>
      </c>
      <c r="P62">
        <v>1023408</v>
      </c>
    </row>
    <row r="63">
      <c r="H63" t="str">
        <v>하드웨어</v>
      </c>
      <c r="I63" t="str">
        <v>삼진스틸</v>
      </c>
      <c r="K63" t="str">
        <v>19353-07250</v>
      </c>
      <c r="L63" t="str">
        <v>NUT (F/CAP형)7/16-2UNF</v>
      </c>
      <c r="M63">
        <v>1</v>
      </c>
      <c r="N63">
        <v>181.14</v>
      </c>
      <c r="O63">
        <v>1236</v>
      </c>
      <c r="P63">
        <v>223889.03999999998</v>
      </c>
    </row>
    <row r="64">
      <c r="H64" t="str">
        <v>사급</v>
      </c>
      <c r="I64" t="str">
        <v>대우포승 사급</v>
      </c>
      <c r="J64" t="str">
        <v>DL3</v>
      </c>
      <c r="K64" t="str">
        <v>65422-L1000</v>
      </c>
      <c r="L64" t="str">
        <v>AREINF ASS’Y RR S/BELT ANCH RH</v>
      </c>
      <c r="M64">
        <v>1</v>
      </c>
      <c r="N64">
        <v>831</v>
      </c>
      <c r="O64">
        <v>1236</v>
      </c>
      <c r="P64">
        <v>1027116</v>
      </c>
    </row>
    <row r="65">
      <c r="H65" t="str">
        <v>하드웨어</v>
      </c>
      <c r="I65" t="str">
        <v>삼진스틸</v>
      </c>
      <c r="K65" t="str">
        <v>19353-07250</v>
      </c>
      <c r="L65" t="str">
        <v>NUT (F/CAP형)7/16-2UNF</v>
      </c>
      <c r="M65">
        <v>1</v>
      </c>
      <c r="N65">
        <v>181.14</v>
      </c>
      <c r="O65">
        <v>1236</v>
      </c>
      <c r="P65">
        <v>223889.03999999998</v>
      </c>
    </row>
    <row r="66">
      <c r="H66" t="str">
        <v>사급</v>
      </c>
      <c r="I66" t="str">
        <v>대우포승 사급</v>
      </c>
      <c r="J66" t="str">
        <v>DL3</v>
      </c>
      <c r="K66" t="str">
        <v>657N2-L1000</v>
      </c>
      <c r="L66" t="str">
        <v xml:space="preserve">MBR CANISTER MTG LH </v>
      </c>
      <c r="M66">
        <v>1</v>
      </c>
      <c r="N66">
        <v>990</v>
      </c>
      <c r="O66">
        <v>1236</v>
      </c>
      <c r="P66">
        <v>1223640</v>
      </c>
    </row>
    <row r="67">
      <c r="H67" t="str">
        <v>하드웨어</v>
      </c>
      <c r="I67" t="str">
        <v>삼진스틸</v>
      </c>
      <c r="K67" t="str">
        <v>13911-08001</v>
      </c>
      <c r="L67" t="str">
        <v>W/NUT T형 M08*1.25P</v>
      </c>
      <c r="M67">
        <v>1</v>
      </c>
      <c r="N67">
        <v>53.6</v>
      </c>
      <c r="O67">
        <v>1236</v>
      </c>
      <c r="P67">
        <v>66249.6</v>
      </c>
    </row>
    <row r="68">
      <c r="H68" t="str">
        <v>사급</v>
      </c>
      <c r="I68" t="str">
        <v>대우포승 사급</v>
      </c>
      <c r="J68" t="str">
        <v>DL3</v>
      </c>
      <c r="K68" t="str">
        <v>657P2-L1000</v>
      </c>
      <c r="L68" t="str">
        <v xml:space="preserve">MBR CANISTER MTG RH </v>
      </c>
      <c r="M68">
        <v>1</v>
      </c>
      <c r="N68">
        <v>949</v>
      </c>
      <c r="O68">
        <v>1236</v>
      </c>
      <c r="P68">
        <v>1172964</v>
      </c>
    </row>
    <row r="69">
      <c r="H69" t="str">
        <v>하드웨어</v>
      </c>
      <c r="I69" t="str">
        <v>삼진스틸</v>
      </c>
      <c r="K69" t="str">
        <v>13911-08001</v>
      </c>
      <c r="L69" t="str">
        <v>W/NUT T형 M08*1.25P</v>
      </c>
      <c r="M69">
        <v>1</v>
      </c>
      <c r="N69">
        <v>53.6</v>
      </c>
      <c r="O69">
        <v>1236</v>
      </c>
      <c r="P69">
        <v>66249.6</v>
      </c>
    </row>
    <row r="70">
      <c r="H70" t="str">
        <v>사급</v>
      </c>
      <c r="I70" t="str">
        <v>대우포승 사급</v>
      </c>
      <c r="J70" t="str">
        <v>DL3</v>
      </c>
      <c r="K70" t="str">
        <v>655N6-L1000</v>
      </c>
      <c r="L70" t="str">
        <v>BRKT RR STIFFNER BRACE LH</v>
      </c>
      <c r="M70">
        <v>1</v>
      </c>
      <c r="N70">
        <v>1184</v>
      </c>
      <c r="O70">
        <v>1236</v>
      </c>
      <c r="P70">
        <v>1463424</v>
      </c>
    </row>
    <row r="71">
      <c r="H71" t="str">
        <v>하드웨어</v>
      </c>
      <c r="I71" t="str">
        <v>삼진스틸</v>
      </c>
      <c r="K71" t="str">
        <v>13917-10120</v>
      </c>
      <c r="L71" t="str">
        <v>NUT (사1)M10*1.25P*12H</v>
      </c>
      <c r="M71">
        <v>2</v>
      </c>
      <c r="N71">
        <v>49.5</v>
      </c>
      <c r="O71">
        <v>1236</v>
      </c>
      <c r="P71">
        <v>122364</v>
      </c>
    </row>
    <row r="72">
      <c r="H72" t="str">
        <v>사급</v>
      </c>
      <c r="I72" t="str">
        <v>대우포승 사급</v>
      </c>
      <c r="J72" t="str">
        <v>DL3</v>
      </c>
      <c r="K72" t="str">
        <v>655P6-L1000</v>
      </c>
      <c r="L72" t="str">
        <v>BRKT RR STIFFNER BRACE RH</v>
      </c>
      <c r="M72">
        <v>1</v>
      </c>
      <c r="N72">
        <v>1184</v>
      </c>
      <c r="O72">
        <v>1236</v>
      </c>
      <c r="P72">
        <v>1463424</v>
      </c>
    </row>
    <row r="73">
      <c r="H73" t="str">
        <v>하드웨어</v>
      </c>
      <c r="I73" t="str">
        <v>삼진스틸</v>
      </c>
      <c r="K73" t="str">
        <v>13917-10120</v>
      </c>
      <c r="L73" t="str">
        <v>NUT (사1)M10*1.25P*12H</v>
      </c>
      <c r="M73">
        <v>2</v>
      </c>
      <c r="N73">
        <v>49.5</v>
      </c>
      <c r="O73">
        <v>1236</v>
      </c>
      <c r="P73">
        <v>122364</v>
      </c>
    </row>
    <row r="74">
      <c r="H74" t="str">
        <v>사급</v>
      </c>
      <c r="I74" t="str">
        <v>대우포승 사급</v>
      </c>
      <c r="K74" t="str">
        <v>65832-L1000</v>
      </c>
      <c r="L74" t="str">
        <v>MBR RR FLR RR CROSS</v>
      </c>
      <c r="M74">
        <v>1</v>
      </c>
      <c r="N74">
        <v>1587</v>
      </c>
      <c r="O74">
        <v>1236</v>
      </c>
      <c r="P74">
        <v>1961532</v>
      </c>
    </row>
    <row r="75">
      <c r="A75" t="str">
        <v>대우포승</v>
      </c>
      <c r="B75" t="str">
        <v>DL3</v>
      </c>
      <c r="C75" t="str">
        <v>65630-L5000</v>
      </c>
      <c r="D75" t="str">
        <v>PNL &amp; MBR ASS'Y RR FLR COMPLE HEV BENCH</v>
      </c>
      <c r="E75">
        <v>12432</v>
      </c>
      <c r="F75">
        <v>370.8</v>
      </c>
      <c r="G75">
        <v>4609785.600000001</v>
      </c>
      <c r="I75" t="str">
        <v>대우포승</v>
      </c>
      <c r="J75" t="str">
        <v>DL3</v>
      </c>
      <c r="K75" t="str">
        <v>65630-L5000</v>
      </c>
      <c r="L75" t="str">
        <v>PNL &amp; MBR ASS'Y RR FLR COMPLE HEV BENCH</v>
      </c>
      <c r="N75">
        <v>10013.54</v>
      </c>
    </row>
    <row r="76">
      <c r="H76" t="str">
        <v>사급</v>
      </c>
      <c r="I76" t="str">
        <v>대우포승 사급</v>
      </c>
      <c r="J76" t="str">
        <v>DL3</v>
      </c>
      <c r="K76" t="str">
        <v>65852-L2000</v>
      </c>
      <c r="L76" t="str">
        <v>MBR-RR FLR CTR CROSS</v>
      </c>
      <c r="M76">
        <v>1</v>
      </c>
      <c r="N76">
        <v>3022</v>
      </c>
      <c r="O76">
        <v>370.8</v>
      </c>
      <c r="P76">
        <v>1120557.6</v>
      </c>
    </row>
    <row r="77">
      <c r="H77" t="str">
        <v>사급</v>
      </c>
      <c r="I77" t="str">
        <v>대우포승 사급</v>
      </c>
      <c r="J77" t="str">
        <v>DL3</v>
      </c>
      <c r="K77" t="str">
        <v>65916-L1000</v>
      </c>
      <c r="L77" t="str">
        <v>SUPT F/TANK BAND RR MTG BRK</v>
      </c>
      <c r="M77">
        <v>1</v>
      </c>
      <c r="N77">
        <v>89</v>
      </c>
      <c r="O77">
        <v>370.8</v>
      </c>
      <c r="P77">
        <v>33001.200000000004</v>
      </c>
    </row>
    <row r="78">
      <c r="H78" t="str">
        <v>하드웨어</v>
      </c>
      <c r="I78" t="str">
        <v>아신금속</v>
      </c>
      <c r="K78" t="str">
        <v>65639-3K000</v>
      </c>
      <c r="L78" t="str">
        <v>MTG BOLT M10*60</v>
      </c>
      <c r="M78">
        <v>1</v>
      </c>
      <c r="N78">
        <v>151.1</v>
      </c>
      <c r="O78">
        <v>370.8</v>
      </c>
      <c r="P78">
        <v>56027.88</v>
      </c>
    </row>
    <row r="79">
      <c r="H79" t="str">
        <v>사급</v>
      </c>
      <c r="I79" t="str">
        <v>대우포승 사급</v>
      </c>
      <c r="J79" t="str">
        <v>DL3</v>
      </c>
      <c r="K79" t="str">
        <v>65916-L1000</v>
      </c>
      <c r="L79" t="str">
        <v>SUPT F/TANK BAND RR MTG BRK</v>
      </c>
      <c r="M79">
        <v>1</v>
      </c>
      <c r="N79">
        <v>89</v>
      </c>
      <c r="O79">
        <v>370.8</v>
      </c>
      <c r="P79">
        <v>33001.200000000004</v>
      </c>
    </row>
    <row r="80">
      <c r="H80" t="str">
        <v>하드웨어</v>
      </c>
      <c r="I80" t="str">
        <v>아신금속</v>
      </c>
      <c r="K80" t="str">
        <v>65639-3K000</v>
      </c>
      <c r="L80" t="str">
        <v>MTG BOLT M10*60</v>
      </c>
      <c r="M80">
        <v>1</v>
      </c>
      <c r="N80">
        <v>151.1</v>
      </c>
      <c r="O80">
        <v>370.8</v>
      </c>
      <c r="P80">
        <v>56027.88</v>
      </c>
    </row>
    <row r="81">
      <c r="H81" t="str">
        <v>사급</v>
      </c>
      <c r="I81" t="str">
        <v>대우포승 사급</v>
      </c>
      <c r="J81" t="str">
        <v>DL3</v>
      </c>
      <c r="K81" t="str">
        <v>65554-D4000</v>
      </c>
      <c r="L81" t="str">
        <v>REINF ASSY-RR S/BELT ANCHOR LH</v>
      </c>
      <c r="M81">
        <v>2</v>
      </c>
      <c r="N81">
        <v>230</v>
      </c>
      <c r="O81">
        <v>370.8</v>
      </c>
      <c r="P81">
        <v>170568</v>
      </c>
    </row>
    <row r="82">
      <c r="H82" t="str">
        <v>하드웨어</v>
      </c>
      <c r="I82" t="str">
        <v>삼진스틸</v>
      </c>
      <c r="K82" t="str">
        <v>19353-07250</v>
      </c>
      <c r="L82" t="str">
        <v>NUT (F/CAP형)7/16-2UNF</v>
      </c>
      <c r="M82">
        <v>2</v>
      </c>
      <c r="N82">
        <v>181.14</v>
      </c>
      <c r="O82">
        <v>370.8</v>
      </c>
      <c r="P82">
        <v>134333.424</v>
      </c>
    </row>
    <row r="83">
      <c r="H83" t="str">
        <v>사급</v>
      </c>
      <c r="I83" t="str">
        <v>대우포승 사급</v>
      </c>
      <c r="J83" t="str">
        <v>DL3</v>
      </c>
      <c r="K83" t="str">
        <v>657N2-L1000</v>
      </c>
      <c r="L83" t="str">
        <v xml:space="preserve">MBR CANISTER MTG LH </v>
      </c>
      <c r="M83">
        <v>1</v>
      </c>
      <c r="N83">
        <v>990</v>
      </c>
      <c r="O83">
        <v>370.8</v>
      </c>
      <c r="P83">
        <v>367092</v>
      </c>
    </row>
    <row r="84">
      <c r="H84" t="str">
        <v>하드웨어</v>
      </c>
      <c r="I84" t="str">
        <v>삼진스틸</v>
      </c>
      <c r="K84" t="str">
        <v>13911-08001</v>
      </c>
      <c r="L84" t="str">
        <v>W/NUT T형 M08*1.25P</v>
      </c>
      <c r="M84">
        <v>1</v>
      </c>
      <c r="N84">
        <v>53.6</v>
      </c>
      <c r="O84">
        <v>370.8</v>
      </c>
      <c r="P84">
        <v>19874.88</v>
      </c>
    </row>
    <row r="85">
      <c r="H85" t="str">
        <v>사급</v>
      </c>
      <c r="I85" t="str">
        <v>대우포승 사급</v>
      </c>
      <c r="J85" t="str">
        <v>DL3</v>
      </c>
      <c r="K85" t="str">
        <v>657P2-L1000</v>
      </c>
      <c r="L85" t="str">
        <v xml:space="preserve">MBR CANISTER MTG RH </v>
      </c>
      <c r="M85">
        <v>1</v>
      </c>
      <c r="N85">
        <v>949</v>
      </c>
      <c r="O85">
        <v>370.8</v>
      </c>
      <c r="P85">
        <v>351889.2</v>
      </c>
    </row>
    <row r="86">
      <c r="H86" t="str">
        <v>하드웨어</v>
      </c>
      <c r="I86" t="str">
        <v>삼진스틸</v>
      </c>
      <c r="K86" t="str">
        <v>13911-08001</v>
      </c>
      <c r="L86" t="str">
        <v>W/NUT T형 M08*1.25P</v>
      </c>
      <c r="M86">
        <v>1</v>
      </c>
      <c r="N86">
        <v>53.6</v>
      </c>
      <c r="O86">
        <v>370.8</v>
      </c>
      <c r="P86">
        <v>19874.88</v>
      </c>
    </row>
    <row r="87">
      <c r="H87" t="str">
        <v>사급</v>
      </c>
      <c r="I87" t="str">
        <v>대우포승 사급</v>
      </c>
      <c r="J87" t="str">
        <v>DL3</v>
      </c>
      <c r="K87" t="str">
        <v>655N6-L1000</v>
      </c>
      <c r="L87" t="str">
        <v>BRKT RR STIFFNER BRACE LH</v>
      </c>
      <c r="M87">
        <v>1</v>
      </c>
      <c r="N87">
        <v>1184</v>
      </c>
      <c r="O87">
        <v>370.8</v>
      </c>
      <c r="P87">
        <v>439027.2</v>
      </c>
    </row>
    <row r="88">
      <c r="H88" t="str">
        <v>하드웨어</v>
      </c>
      <c r="I88" t="str">
        <v>삼진스틸</v>
      </c>
      <c r="K88" t="str">
        <v>13917-10120</v>
      </c>
      <c r="L88" t="str">
        <v>NUT (사1)M10*1.25P*12H</v>
      </c>
      <c r="M88">
        <v>2</v>
      </c>
      <c r="N88">
        <v>49.5</v>
      </c>
      <c r="O88">
        <v>370.8</v>
      </c>
      <c r="P88">
        <v>36709.200000000004</v>
      </c>
    </row>
    <row r="89">
      <c r="H89" t="str">
        <v>사급</v>
      </c>
      <c r="I89" t="str">
        <v>대우포승 사급</v>
      </c>
      <c r="J89" t="str">
        <v>DL3</v>
      </c>
      <c r="K89" t="str">
        <v>655P6-L1000</v>
      </c>
      <c r="L89" t="str">
        <v>BRKT RR STIFFNER BRACE RH</v>
      </c>
      <c r="M89">
        <v>1</v>
      </c>
      <c r="N89">
        <v>1184</v>
      </c>
      <c r="O89">
        <v>370.8</v>
      </c>
      <c r="P89">
        <v>439027.2</v>
      </c>
    </row>
    <row r="90">
      <c r="H90" t="str">
        <v>하드웨어</v>
      </c>
      <c r="I90" t="str">
        <v>삼진스틸</v>
      </c>
      <c r="K90" t="str">
        <v>13917-10120</v>
      </c>
      <c r="L90" t="str">
        <v>NUT (사1)M10*1.25P*12H</v>
      </c>
      <c r="M90">
        <v>2</v>
      </c>
      <c r="N90">
        <v>49.5</v>
      </c>
      <c r="O90">
        <v>370.8</v>
      </c>
      <c r="P90">
        <v>36709.200000000004</v>
      </c>
    </row>
    <row r="91">
      <c r="H91" t="str">
        <v>사급</v>
      </c>
      <c r="I91" t="str">
        <v>대우포승 사급</v>
      </c>
      <c r="K91" t="str">
        <v>65832-L1000</v>
      </c>
      <c r="L91" t="str">
        <v>MBR RR FLR RR CROSS</v>
      </c>
      <c r="M91">
        <v>1</v>
      </c>
      <c r="N91">
        <v>1587</v>
      </c>
      <c r="O91">
        <v>370.8</v>
      </c>
      <c r="P91">
        <v>588459.6</v>
      </c>
    </row>
    <row r="92">
      <c r="A92" t="str">
        <v>대우포승</v>
      </c>
      <c r="B92" t="str">
        <v>DL3</v>
      </c>
      <c r="C92" t="str">
        <v>65630-L5010</v>
      </c>
      <c r="D92" t="str">
        <v>PNL &amp; MBR ASS'Y RR FLR COMPLE HEV FOLD'G</v>
      </c>
      <c r="E92">
        <v>12162</v>
      </c>
      <c r="F92">
        <v>370.8</v>
      </c>
      <c r="G92">
        <v>4509669.600000001</v>
      </c>
      <c r="I92" t="str">
        <v>대우포승</v>
      </c>
      <c r="J92" t="str">
        <v>DL3</v>
      </c>
      <c r="K92" t="str">
        <v>65630-L5010</v>
      </c>
      <c r="L92" t="str">
        <v>PNL &amp; MBR ASS'Y RR FLR COMPLE HEV FOLD'G</v>
      </c>
      <c r="N92">
        <v>9634.640000000001</v>
      </c>
    </row>
    <row r="93">
      <c r="H93" t="str">
        <v>사급</v>
      </c>
      <c r="I93" t="str">
        <v>대우포승 사급</v>
      </c>
      <c r="J93" t="str">
        <v>DL3</v>
      </c>
      <c r="K93" t="str">
        <v>65852-L2000</v>
      </c>
      <c r="L93" t="str">
        <v>MBR-RR FLR CTR CROSS</v>
      </c>
      <c r="M93">
        <v>1</v>
      </c>
      <c r="N93">
        <v>3022</v>
      </c>
      <c r="O93">
        <v>370.8</v>
      </c>
      <c r="P93">
        <v>1120557.6</v>
      </c>
    </row>
    <row r="94">
      <c r="H94" t="str">
        <v>하드웨어</v>
      </c>
      <c r="I94" t="str">
        <v>삼진스틸</v>
      </c>
      <c r="K94" t="str">
        <v>13194-08220</v>
      </c>
      <c r="L94" t="str">
        <v>CAP NUT M8</v>
      </c>
      <c r="M94">
        <v>2</v>
      </c>
      <c r="N94">
        <v>101.3</v>
      </c>
      <c r="O94">
        <v>370.8</v>
      </c>
      <c r="P94">
        <v>75124.08</v>
      </c>
    </row>
    <row r="95">
      <c r="H95" t="str">
        <v>사급</v>
      </c>
      <c r="I95" t="str">
        <v>대우포승 사급</v>
      </c>
      <c r="J95" t="str">
        <v>DL3</v>
      </c>
      <c r="K95" t="str">
        <v>65554-D4000</v>
      </c>
      <c r="L95" t="str">
        <v>REINF ASSY-RR S/BELT ANCHOR LH</v>
      </c>
      <c r="M95">
        <v>2</v>
      </c>
      <c r="N95">
        <v>230</v>
      </c>
      <c r="O95">
        <v>370.8</v>
      </c>
      <c r="P95">
        <v>170568</v>
      </c>
    </row>
    <row r="96">
      <c r="H96" t="str">
        <v>하드웨어</v>
      </c>
      <c r="I96" t="str">
        <v>삼진스틸</v>
      </c>
      <c r="K96" t="str">
        <v>19353-07250</v>
      </c>
      <c r="L96" t="str">
        <v>NUT (F/CAP형)7/16-2UNF</v>
      </c>
      <c r="M96">
        <v>2</v>
      </c>
      <c r="N96">
        <v>181.14</v>
      </c>
      <c r="O96">
        <v>370.8</v>
      </c>
      <c r="P96">
        <v>134333.424</v>
      </c>
    </row>
    <row r="97">
      <c r="H97" t="str">
        <v>사급</v>
      </c>
      <c r="I97" t="str">
        <v>대우포승 사급</v>
      </c>
      <c r="J97" t="str">
        <v>DL3</v>
      </c>
      <c r="K97" t="str">
        <v>657N2-L1000</v>
      </c>
      <c r="L97" t="str">
        <v xml:space="preserve">MBR CANISTER MTG LH </v>
      </c>
      <c r="M97">
        <v>1</v>
      </c>
      <c r="N97">
        <v>990</v>
      </c>
      <c r="O97">
        <v>370.8</v>
      </c>
      <c r="P97">
        <v>367092</v>
      </c>
    </row>
    <row r="98">
      <c r="H98" t="str">
        <v>하드웨어</v>
      </c>
      <c r="I98" t="str">
        <v>삼진스틸</v>
      </c>
      <c r="K98" t="str">
        <v>13911-08001</v>
      </c>
      <c r="L98" t="str">
        <v>W/NUT T형 M08*1.25P</v>
      </c>
      <c r="M98">
        <v>1</v>
      </c>
      <c r="N98">
        <v>53.6</v>
      </c>
      <c r="O98">
        <v>370.8</v>
      </c>
      <c r="P98">
        <v>19874.88</v>
      </c>
    </row>
    <row r="99">
      <c r="H99" t="str">
        <v>사급</v>
      </c>
      <c r="I99" t="str">
        <v>대우포승 사급</v>
      </c>
      <c r="J99" t="str">
        <v>DL3</v>
      </c>
      <c r="K99" t="str">
        <v>657P2-L1000</v>
      </c>
      <c r="L99" t="str">
        <v xml:space="preserve">MBR CANISTER MTG RH </v>
      </c>
      <c r="M99">
        <v>1</v>
      </c>
      <c r="N99">
        <v>949</v>
      </c>
      <c r="O99">
        <v>370.8</v>
      </c>
      <c r="P99">
        <v>351889.2</v>
      </c>
    </row>
    <row r="100">
      <c r="H100" t="str">
        <v>하드웨어</v>
      </c>
      <c r="I100" t="str">
        <v>삼진스틸</v>
      </c>
      <c r="K100" t="str">
        <v>13911-08001</v>
      </c>
      <c r="L100" t="str">
        <v>W/NUT T형 M08*1.25P</v>
      </c>
      <c r="M100">
        <v>1</v>
      </c>
      <c r="N100">
        <v>53.6</v>
      </c>
      <c r="O100">
        <v>370.8</v>
      </c>
      <c r="P100">
        <v>19874.88</v>
      </c>
    </row>
    <row r="101">
      <c r="H101" t="str">
        <v>사급</v>
      </c>
      <c r="I101" t="str">
        <v>대우포승 사급</v>
      </c>
      <c r="J101" t="str">
        <v>DL3</v>
      </c>
      <c r="K101" t="str">
        <v>655N6-L1000</v>
      </c>
      <c r="L101" t="str">
        <v>BRKT RR STIFFNER BRACE LH</v>
      </c>
      <c r="M101">
        <v>1</v>
      </c>
      <c r="N101">
        <v>1184</v>
      </c>
      <c r="O101">
        <v>370.8</v>
      </c>
      <c r="P101">
        <v>439027.2</v>
      </c>
    </row>
    <row r="102">
      <c r="H102" t="str">
        <v>하드웨어</v>
      </c>
      <c r="I102" t="str">
        <v>삼진스틸</v>
      </c>
      <c r="K102" t="str">
        <v>13917-10120</v>
      </c>
      <c r="L102" t="str">
        <v>NUT (사1)M10*1.25P*12H</v>
      </c>
      <c r="M102">
        <v>2</v>
      </c>
      <c r="N102">
        <v>49.5</v>
      </c>
      <c r="O102">
        <v>370.8</v>
      </c>
      <c r="P102">
        <v>36709.200000000004</v>
      </c>
    </row>
    <row r="103">
      <c r="H103" t="str">
        <v>사급</v>
      </c>
      <c r="I103" t="str">
        <v>대우포승 사급</v>
      </c>
      <c r="J103" t="str">
        <v>DL3</v>
      </c>
      <c r="K103" t="str">
        <v>655P6-L1000</v>
      </c>
      <c r="L103" t="str">
        <v>BRKT RR STIFFNER BRACE RH</v>
      </c>
      <c r="M103">
        <v>1</v>
      </c>
      <c r="N103">
        <v>1184</v>
      </c>
      <c r="O103">
        <v>370.8</v>
      </c>
      <c r="P103">
        <v>439027.2</v>
      </c>
    </row>
    <row r="104">
      <c r="H104" t="str">
        <v>하드웨어</v>
      </c>
      <c r="I104" t="str">
        <v>삼진스틸</v>
      </c>
      <c r="K104" t="str">
        <v>13917-10120</v>
      </c>
      <c r="L104" t="str">
        <v>NUT (사1)M10*1.25P*12H</v>
      </c>
      <c r="M104">
        <v>2</v>
      </c>
      <c r="N104">
        <v>49.5</v>
      </c>
      <c r="O104">
        <v>370.8</v>
      </c>
      <c r="P104">
        <v>36709.200000000004</v>
      </c>
    </row>
    <row r="105">
      <c r="H105" t="str">
        <v>사급</v>
      </c>
      <c r="I105" t="str">
        <v>대우포승 사급</v>
      </c>
      <c r="K105" t="str">
        <v>65832-L1000</v>
      </c>
      <c r="L105" t="str">
        <v>MBR RR FLR RR CROSS</v>
      </c>
      <c r="M105">
        <v>1</v>
      </c>
      <c r="N105">
        <v>1587</v>
      </c>
      <c r="O105">
        <v>370.8</v>
      </c>
      <c r="P105">
        <v>588459.6</v>
      </c>
    </row>
    <row r="106">
      <c r="A106" t="str">
        <v>대우포승</v>
      </c>
      <c r="B106" t="str">
        <v>GL3</v>
      </c>
      <c r="C106" t="str">
        <v>65630-L8400</v>
      </c>
      <c r="D106" t="str">
        <v>PNL &amp; MBR ASS'Y RR FLR COMPLE (AWD)</v>
      </c>
      <c r="E106">
        <v>13165</v>
      </c>
      <c r="F106">
        <v>123.60000000000001</v>
      </c>
      <c r="G106">
        <v>1627194</v>
      </c>
      <c r="I106" t="str">
        <v>대우포승</v>
      </c>
      <c r="J106" t="str">
        <v>GL3</v>
      </c>
      <c r="K106" t="str">
        <v>65630-L8400</v>
      </c>
      <c r="L106" t="str">
        <v>PNL &amp; MBR ASS'Y RR FLR COMPLE (AWD)</v>
      </c>
      <c r="N106">
        <v>7912.7</v>
      </c>
      <c r="O106">
        <v>123.60000000000001</v>
      </c>
    </row>
    <row r="107">
      <c r="H107" t="str">
        <v>태창금속</v>
      </c>
      <c r="I107" t="str">
        <v>태창금속</v>
      </c>
      <c r="J107" t="str">
        <v>GL3</v>
      </c>
      <c r="K107" t="str">
        <v>65852-L3400</v>
      </c>
      <c r="L107" t="str">
        <v>MBR-RR FLR CTR CROSS</v>
      </c>
      <c r="M107">
        <v>1</v>
      </c>
      <c r="N107">
        <v>1267</v>
      </c>
      <c r="O107">
        <v>123.60000000000001</v>
      </c>
      <c r="P107">
        <v>156601.2</v>
      </c>
      <c r="R107">
        <v>1267</v>
      </c>
      <c r="S107">
        <v>2939</v>
      </c>
      <c r="T107" t="str">
        <v>SGAFC590</v>
      </c>
      <c r="U107">
        <v>0.9</v>
      </c>
      <c r="V107">
        <v>730</v>
      </c>
      <c r="W107">
        <v>450</v>
      </c>
      <c r="X107">
        <v>1</v>
      </c>
      <c r="Y107">
        <v>7.85</v>
      </c>
      <c r="Z107">
        <v>2.32</v>
      </c>
      <c r="AA107" t="str">
        <v>스크랩금액</v>
      </c>
      <c r="AB107">
        <v>123.60000000000001</v>
      </c>
      <c r="AC107">
        <v>0.9588</v>
      </c>
      <c r="AD107">
        <v>362</v>
      </c>
      <c r="AE107">
        <v>42899.78016</v>
      </c>
    </row>
    <row r="108">
      <c r="H108" t="str">
        <v>하드웨어</v>
      </c>
      <c r="I108" t="str">
        <v>삼진스틸</v>
      </c>
      <c r="K108" t="str">
        <v>13194-08220</v>
      </c>
      <c r="L108" t="str">
        <v>CAP NUT M8</v>
      </c>
      <c r="M108">
        <v>2</v>
      </c>
      <c r="N108">
        <v>101.3</v>
      </c>
      <c r="O108">
        <v>123.60000000000001</v>
      </c>
      <c r="P108">
        <v>25041.36</v>
      </c>
    </row>
    <row r="109">
      <c r="H109" t="str">
        <v>사급</v>
      </c>
      <c r="I109" t="str">
        <v>대우포승 사급</v>
      </c>
      <c r="J109" t="str">
        <v>GL3</v>
      </c>
      <c r="K109" t="str">
        <v>65916-L8400</v>
      </c>
      <c r="L109" t="str">
        <v>SUPT F/TANK BAND RR MTG BRK</v>
      </c>
      <c r="M109">
        <v>1</v>
      </c>
      <c r="N109">
        <v>123</v>
      </c>
      <c r="O109">
        <v>123.60000000000001</v>
      </c>
      <c r="P109">
        <v>15202.800000000001</v>
      </c>
    </row>
    <row r="110">
      <c r="H110" t="str">
        <v>하드웨어</v>
      </c>
      <c r="I110" t="str">
        <v>아신금속</v>
      </c>
      <c r="K110" t="str">
        <v>65639-3K000</v>
      </c>
      <c r="L110" t="str">
        <v>MTG BOLT M10*60</v>
      </c>
      <c r="M110">
        <v>1</v>
      </c>
      <c r="N110">
        <v>151.1</v>
      </c>
      <c r="O110">
        <v>123.60000000000001</v>
      </c>
      <c r="P110">
        <v>18675.96</v>
      </c>
    </row>
    <row r="111">
      <c r="H111" t="str">
        <v>사급</v>
      </c>
      <c r="I111" t="str">
        <v>대우포승 사급</v>
      </c>
      <c r="J111" t="str">
        <v>GL3</v>
      </c>
      <c r="K111" t="str">
        <v>65916-L8400</v>
      </c>
      <c r="L111" t="str">
        <v>SUPT F/TANK BAND RR MTG BRK</v>
      </c>
      <c r="M111">
        <v>1</v>
      </c>
      <c r="N111">
        <v>123</v>
      </c>
      <c r="O111">
        <v>123.60000000000001</v>
      </c>
      <c r="P111">
        <v>15202.800000000001</v>
      </c>
    </row>
    <row r="112">
      <c r="H112" t="str">
        <v>하드웨어</v>
      </c>
      <c r="I112" t="str">
        <v>아신금속</v>
      </c>
      <c r="K112" t="str">
        <v>65639-3K000</v>
      </c>
      <c r="L112" t="str">
        <v>MTG BOLT M10*60</v>
      </c>
      <c r="M112">
        <v>1</v>
      </c>
      <c r="N112">
        <v>151.1</v>
      </c>
      <c r="O112">
        <v>123.60000000000001</v>
      </c>
      <c r="P112">
        <v>18675.96</v>
      </c>
    </row>
    <row r="113">
      <c r="H113" t="str">
        <v>사급</v>
      </c>
      <c r="I113" t="str">
        <v>대우포승 사급</v>
      </c>
      <c r="J113" t="str">
        <v>DL3</v>
      </c>
      <c r="K113" t="str">
        <v>657N2-L1000</v>
      </c>
      <c r="L113" t="str">
        <v xml:space="preserve">MBR CANISTER MTG LH </v>
      </c>
      <c r="M113">
        <v>1</v>
      </c>
      <c r="N113">
        <v>990</v>
      </c>
      <c r="O113">
        <v>123.60000000000001</v>
      </c>
      <c r="P113">
        <v>122364.00000000001</v>
      </c>
    </row>
    <row r="114">
      <c r="H114" t="str">
        <v>하드웨어</v>
      </c>
      <c r="I114" t="str">
        <v>삼진스틸</v>
      </c>
      <c r="K114" t="str">
        <v>13911-08001</v>
      </c>
      <c r="L114" t="str">
        <v>W/NUT T형 M08*1.25P</v>
      </c>
      <c r="M114">
        <v>1</v>
      </c>
      <c r="N114">
        <v>53.6</v>
      </c>
      <c r="O114">
        <v>123.60000000000001</v>
      </c>
      <c r="P114">
        <v>6624.960000000001</v>
      </c>
    </row>
    <row r="115">
      <c r="H115" t="str">
        <v>사급</v>
      </c>
      <c r="I115" t="str">
        <v>대우포승 사급</v>
      </c>
      <c r="J115" t="str">
        <v>DL3</v>
      </c>
      <c r="K115" t="str">
        <v>657P2-L1000</v>
      </c>
      <c r="L115" t="str">
        <v xml:space="preserve">MBR CANISTER MTG RH </v>
      </c>
      <c r="M115">
        <v>1</v>
      </c>
      <c r="N115">
        <v>949</v>
      </c>
      <c r="O115">
        <v>123.60000000000001</v>
      </c>
      <c r="P115">
        <v>117296.40000000001</v>
      </c>
    </row>
    <row r="116">
      <c r="H116" t="str">
        <v>하드웨어</v>
      </c>
      <c r="I116" t="str">
        <v>삼진스틸</v>
      </c>
      <c r="K116" t="str">
        <v>13911-08001</v>
      </c>
      <c r="L116" t="str">
        <v>W/NUT T형 M08*1.25P</v>
      </c>
      <c r="M116">
        <v>1</v>
      </c>
      <c r="N116">
        <v>53.6</v>
      </c>
      <c r="O116">
        <v>123.60000000000001</v>
      </c>
      <c r="P116">
        <v>6624.960000000001</v>
      </c>
    </row>
    <row r="117">
      <c r="H117" t="str">
        <v>사급</v>
      </c>
      <c r="I117" t="str">
        <v>대우포승 사급</v>
      </c>
      <c r="J117" t="str">
        <v>GL3</v>
      </c>
      <c r="K117" t="str">
        <v>655N6-L8400</v>
      </c>
      <c r="L117" t="str">
        <v>BRKT RR STIFFNER BRACE LH</v>
      </c>
      <c r="M117">
        <v>1</v>
      </c>
      <c r="N117">
        <v>1132</v>
      </c>
      <c r="O117">
        <v>123.60000000000001</v>
      </c>
      <c r="P117">
        <v>139915.2</v>
      </c>
    </row>
    <row r="118">
      <c r="H118" t="str">
        <v>하드웨어</v>
      </c>
      <c r="I118" t="str">
        <v>삼진스틸</v>
      </c>
      <c r="K118" t="str">
        <v>13917-10120</v>
      </c>
      <c r="L118" t="str">
        <v>NUT (사1)M10*1.25P*12H</v>
      </c>
      <c r="M118">
        <v>2</v>
      </c>
      <c r="N118">
        <v>49.5</v>
      </c>
      <c r="O118">
        <v>123.60000000000001</v>
      </c>
      <c r="P118">
        <v>12236.400000000001</v>
      </c>
    </row>
    <row r="119">
      <c r="H119" t="str">
        <v>사급</v>
      </c>
      <c r="I119" t="str">
        <v>대우포승 사급</v>
      </c>
      <c r="J119" t="str">
        <v>GL3</v>
      </c>
      <c r="K119" t="str">
        <v>655P6-L8400</v>
      </c>
      <c r="L119" t="str">
        <v>BRKT RR STIFFNER BRACE RH</v>
      </c>
      <c r="M119">
        <v>1</v>
      </c>
      <c r="N119">
        <v>1132</v>
      </c>
      <c r="O119">
        <v>123.60000000000001</v>
      </c>
      <c r="P119">
        <v>139915.2</v>
      </c>
    </row>
    <row r="120">
      <c r="H120" t="str">
        <v>하드웨어</v>
      </c>
      <c r="I120" t="str">
        <v>삼진스틸</v>
      </c>
      <c r="K120" t="str">
        <v>13917-10120</v>
      </c>
      <c r="L120" t="str">
        <v>NUT (사1)M10*1.25P*12H</v>
      </c>
      <c r="M120">
        <v>2</v>
      </c>
      <c r="N120">
        <v>49.5</v>
      </c>
      <c r="O120">
        <v>123.60000000000001</v>
      </c>
      <c r="P120">
        <v>12236.400000000001</v>
      </c>
    </row>
    <row r="121">
      <c r="H121" t="str">
        <v>사급</v>
      </c>
      <c r="I121" t="str">
        <v>대우포승 사급</v>
      </c>
      <c r="K121" t="str">
        <v>65832-L1000</v>
      </c>
      <c r="L121" t="str">
        <v>MBR RR FLR RR CROSS</v>
      </c>
      <c r="M121">
        <v>1</v>
      </c>
      <c r="N121">
        <v>1587</v>
      </c>
      <c r="O121">
        <v>123.60000000000001</v>
      </c>
      <c r="P121">
        <v>196153.2</v>
      </c>
    </row>
    <row r="122">
      <c r="A122" t="str">
        <v>대우포승</v>
      </c>
      <c r="B122" t="str">
        <v>DL3PE</v>
      </c>
      <c r="C122" t="str">
        <v>65630-L2800</v>
      </c>
      <c r="D122" t="str">
        <v>PNL &amp; MBR ASS'Y RR FLR COMPLE 일반 PE</v>
      </c>
      <c r="E122">
        <v>11733</v>
      </c>
      <c r="F122">
        <v>1236</v>
      </c>
      <c r="G122">
        <v>14501988</v>
      </c>
      <c r="I122" t="str">
        <v>대우포승</v>
      </c>
      <c r="J122" t="str">
        <v>GL3</v>
      </c>
      <c r="K122" t="str">
        <v>65630-L2800</v>
      </c>
      <c r="L122" t="str">
        <v>PNL &amp; MBR ASS'Y RR FLR COMPLE 일반 PE</v>
      </c>
      <c r="N122">
        <v>11608.68</v>
      </c>
      <c r="O122">
        <v>1236</v>
      </c>
    </row>
    <row r="123">
      <c r="H123" t="str">
        <v>태창금속</v>
      </c>
      <c r="I123" t="str">
        <v>태창금속</v>
      </c>
      <c r="J123" t="str">
        <v>GL3</v>
      </c>
      <c r="K123" t="str">
        <v>65852-L3400</v>
      </c>
      <c r="L123" t="str">
        <v>MBR-RR FLR CTR CROSS</v>
      </c>
      <c r="M123">
        <v>1</v>
      </c>
      <c r="N123">
        <v>2939</v>
      </c>
      <c r="O123">
        <v>1236</v>
      </c>
      <c r="P123">
        <v>3632604</v>
      </c>
      <c r="R123">
        <v>1267</v>
      </c>
      <c r="S123">
        <v>2939</v>
      </c>
      <c r="T123" t="str">
        <v>SGAFC590</v>
      </c>
      <c r="U123">
        <v>0.9</v>
      </c>
      <c r="V123">
        <v>730</v>
      </c>
      <c r="W123">
        <v>450</v>
      </c>
      <c r="X123">
        <v>1</v>
      </c>
      <c r="Y123">
        <v>7.85</v>
      </c>
      <c r="Z123">
        <v>2.32</v>
      </c>
      <c r="AA123" t="str">
        <v>스크랩금액</v>
      </c>
      <c r="AB123">
        <v>1236</v>
      </c>
      <c r="AC123">
        <v>0.9588</v>
      </c>
      <c r="AD123">
        <v>362</v>
      </c>
      <c r="AE123">
        <v>428997.8016</v>
      </c>
    </row>
    <row r="124">
      <c r="H124" t="str">
        <v>사급</v>
      </c>
      <c r="I124" t="str">
        <v>대우포승 사급</v>
      </c>
      <c r="J124" t="str">
        <v>GL3</v>
      </c>
      <c r="K124" t="str">
        <v>65916-L8400</v>
      </c>
      <c r="L124" t="str">
        <v>SUPT F/TANK BAND RR MTG BRK</v>
      </c>
      <c r="M124">
        <v>1</v>
      </c>
      <c r="N124">
        <v>123</v>
      </c>
      <c r="O124">
        <v>1236</v>
      </c>
      <c r="P124">
        <v>152028</v>
      </c>
    </row>
    <row r="125">
      <c r="H125" t="str">
        <v>하드웨어</v>
      </c>
      <c r="I125" t="str">
        <v>아신금속</v>
      </c>
      <c r="K125" t="str">
        <v>65639-3K000</v>
      </c>
      <c r="L125" t="str">
        <v>MTG BOLT M10*60</v>
      </c>
      <c r="M125">
        <v>1</v>
      </c>
      <c r="N125">
        <v>151.1</v>
      </c>
      <c r="O125">
        <v>1236</v>
      </c>
      <c r="P125">
        <v>186759.6</v>
      </c>
    </row>
    <row r="126">
      <c r="H126" t="str">
        <v>사급</v>
      </c>
      <c r="I126" t="str">
        <v>대우포승 사급</v>
      </c>
      <c r="J126" t="str">
        <v>GL3</v>
      </c>
      <c r="K126" t="str">
        <v>65916-L8400</v>
      </c>
      <c r="L126" t="str">
        <v>SUPT F/TANK BAND RR MTG BRK</v>
      </c>
      <c r="M126">
        <v>1</v>
      </c>
      <c r="N126">
        <v>123</v>
      </c>
      <c r="O126">
        <v>1236</v>
      </c>
      <c r="P126">
        <v>152028</v>
      </c>
    </row>
    <row r="127">
      <c r="H127" t="str">
        <v>하드웨어</v>
      </c>
      <c r="I127" t="str">
        <v>아신금속</v>
      </c>
      <c r="K127" t="str">
        <v>65639-3K000</v>
      </c>
      <c r="L127" t="str">
        <v>MTG BOLT M10*60</v>
      </c>
      <c r="M127">
        <v>1</v>
      </c>
      <c r="N127">
        <v>151.1</v>
      </c>
      <c r="O127">
        <v>1236</v>
      </c>
      <c r="P127">
        <v>186759.6</v>
      </c>
    </row>
    <row r="128">
      <c r="H128" t="str">
        <v>사급</v>
      </c>
      <c r="I128" t="str">
        <v>대우포승 사급</v>
      </c>
      <c r="J128" t="str">
        <v>DL3</v>
      </c>
      <c r="K128" t="str">
        <v>65412-L1000</v>
      </c>
      <c r="L128" t="str">
        <v>AREINF ASS’Y RR S/BELT ANCH LH</v>
      </c>
      <c r="M128">
        <v>1</v>
      </c>
      <c r="N128">
        <v>828</v>
      </c>
      <c r="O128">
        <v>1236</v>
      </c>
      <c r="P128">
        <v>1023408</v>
      </c>
    </row>
    <row r="129">
      <c r="H129" t="str">
        <v>하드웨어</v>
      </c>
      <c r="I129" t="str">
        <v>삼진스틸</v>
      </c>
      <c r="K129" t="str">
        <v>19353-07250</v>
      </c>
      <c r="L129" t="str">
        <v>NUT (F/CAP형)7/16-2UNF</v>
      </c>
      <c r="M129">
        <v>1</v>
      </c>
      <c r="N129">
        <v>181.14</v>
      </c>
      <c r="O129">
        <v>1236</v>
      </c>
      <c r="P129">
        <v>223889.03999999998</v>
      </c>
    </row>
    <row r="130">
      <c r="H130" t="str">
        <v>사급</v>
      </c>
      <c r="I130" t="str">
        <v>대우포승 사급</v>
      </c>
      <c r="J130" t="str">
        <v>DL3</v>
      </c>
      <c r="K130" t="str">
        <v>65422-L1000</v>
      </c>
      <c r="L130" t="str">
        <v>AREINF ASS’Y RR S/BELT ANCH RH</v>
      </c>
      <c r="M130">
        <v>1</v>
      </c>
      <c r="N130">
        <v>831</v>
      </c>
      <c r="O130">
        <v>1236</v>
      </c>
      <c r="P130">
        <v>1027116</v>
      </c>
    </row>
    <row r="131">
      <c r="H131" t="str">
        <v>하드웨어</v>
      </c>
      <c r="I131" t="str">
        <v>삼진스틸</v>
      </c>
      <c r="K131" t="str">
        <v>19353-07250</v>
      </c>
      <c r="L131" t="str">
        <v>NUT (F/CAP형)7/16-2UNF</v>
      </c>
      <c r="M131">
        <v>1</v>
      </c>
      <c r="N131">
        <v>181.14</v>
      </c>
      <c r="O131">
        <v>1236</v>
      </c>
      <c r="P131">
        <v>223889.03999999998</v>
      </c>
    </row>
    <row r="132">
      <c r="H132" t="str">
        <v>사급</v>
      </c>
      <c r="I132" t="str">
        <v>대우포승 사급</v>
      </c>
      <c r="J132" t="str">
        <v>DL3</v>
      </c>
      <c r="K132" t="str">
        <v>657N2-L1000</v>
      </c>
      <c r="L132" t="str">
        <v xml:space="preserve">MBR CANISTER MTG LH </v>
      </c>
      <c r="M132">
        <v>1</v>
      </c>
      <c r="N132">
        <v>990</v>
      </c>
      <c r="O132">
        <v>1236</v>
      </c>
      <c r="P132">
        <v>1223640</v>
      </c>
    </row>
    <row r="133">
      <c r="H133" t="str">
        <v>하드웨어</v>
      </c>
      <c r="I133" t="str">
        <v>삼진스틸</v>
      </c>
      <c r="K133" t="str">
        <v>13911-08001</v>
      </c>
      <c r="L133" t="str">
        <v>W/NUT T형 M08*1.25P</v>
      </c>
      <c r="M133">
        <v>1</v>
      </c>
      <c r="N133">
        <v>53.6</v>
      </c>
      <c r="O133">
        <v>1236</v>
      </c>
      <c r="P133">
        <v>66249.6</v>
      </c>
    </row>
    <row r="134">
      <c r="H134" t="str">
        <v>사급</v>
      </c>
      <c r="I134" t="str">
        <v>대우포승 사급</v>
      </c>
      <c r="J134" t="str">
        <v>DL3</v>
      </c>
      <c r="K134" t="str">
        <v>657P2-L1000</v>
      </c>
      <c r="L134" t="str">
        <v xml:space="preserve">MBR CANISTER MTG RH </v>
      </c>
      <c r="M134">
        <v>1</v>
      </c>
      <c r="N134">
        <v>949</v>
      </c>
      <c r="O134">
        <v>1236</v>
      </c>
      <c r="P134">
        <v>1172964</v>
      </c>
    </row>
    <row r="135">
      <c r="H135" t="str">
        <v>하드웨어</v>
      </c>
      <c r="I135" t="str">
        <v>삼진스틸</v>
      </c>
      <c r="K135" t="str">
        <v>13911-08001</v>
      </c>
      <c r="L135" t="str">
        <v>W/NUT T형 M08*1.25P</v>
      </c>
      <c r="M135">
        <v>1</v>
      </c>
      <c r="N135">
        <v>53.6</v>
      </c>
      <c r="O135">
        <v>1236</v>
      </c>
      <c r="P135">
        <v>66249.6</v>
      </c>
    </row>
    <row r="136">
      <c r="H136" t="str">
        <v>사급</v>
      </c>
      <c r="I136" t="str">
        <v>대우포승 사급</v>
      </c>
      <c r="J136" t="str">
        <v>DL3</v>
      </c>
      <c r="K136" t="str">
        <v>655N6-L1000</v>
      </c>
      <c r="L136" t="str">
        <v>BRKT RR STIFFNER BRACE LH</v>
      </c>
      <c r="M136">
        <v>1</v>
      </c>
      <c r="N136">
        <v>1184</v>
      </c>
      <c r="O136">
        <v>1236</v>
      </c>
      <c r="P136">
        <v>1463424</v>
      </c>
    </row>
    <row r="137">
      <c r="H137" t="str">
        <v>하드웨어</v>
      </c>
      <c r="I137" t="str">
        <v>삼진스틸</v>
      </c>
      <c r="K137" t="str">
        <v>13917-10120</v>
      </c>
      <c r="L137" t="str">
        <v>NUT (사1)M10*1.25P*12H</v>
      </c>
      <c r="M137">
        <v>2</v>
      </c>
      <c r="N137">
        <v>49.5</v>
      </c>
      <c r="O137">
        <v>1236</v>
      </c>
      <c r="P137">
        <v>122364</v>
      </c>
    </row>
    <row r="138">
      <c r="H138" t="str">
        <v>사급</v>
      </c>
      <c r="I138" t="str">
        <v>대우포승 사급</v>
      </c>
      <c r="J138" t="str">
        <v>DL3</v>
      </c>
      <c r="K138" t="str">
        <v>655P6-L1000</v>
      </c>
      <c r="L138" t="str">
        <v>BRKT RR STIFFNER BRACE RH</v>
      </c>
      <c r="M138">
        <v>1</v>
      </c>
      <c r="N138">
        <v>1184</v>
      </c>
      <c r="O138">
        <v>1236</v>
      </c>
      <c r="P138">
        <v>1463424</v>
      </c>
    </row>
    <row r="139">
      <c r="H139" t="str">
        <v>하드웨어</v>
      </c>
      <c r="I139" t="str">
        <v>삼진스틸</v>
      </c>
      <c r="K139" t="str">
        <v>13917-10120</v>
      </c>
      <c r="L139" t="str">
        <v>NUT (사1)M10*1.25P*12H</v>
      </c>
      <c r="M139">
        <v>2</v>
      </c>
      <c r="N139">
        <v>49.5</v>
      </c>
      <c r="O139">
        <v>1236</v>
      </c>
      <c r="P139">
        <v>122364</v>
      </c>
    </row>
    <row r="140">
      <c r="G140">
        <v>173985681.2</v>
      </c>
      <c r="H140" t="str">
        <v>사급</v>
      </c>
      <c r="I140" t="str">
        <v>대우포승 사급</v>
      </c>
      <c r="K140" t="str">
        <v>65832-L1000</v>
      </c>
      <c r="L140" t="str">
        <v>MBR RR FLR RR CROSS</v>
      </c>
      <c r="M140">
        <v>1</v>
      </c>
      <c r="N140">
        <v>1587</v>
      </c>
      <c r="O140">
        <v>1236</v>
      </c>
      <c r="P140">
        <v>1961532</v>
      </c>
      <c r="AE140">
        <v>1329893.18496</v>
      </c>
    </row>
    <row r="142">
      <c r="P142">
        <v>155654994.60799986</v>
      </c>
    </row>
    <row r="143">
      <c r="G143">
        <v>244402661.2</v>
      </c>
    </row>
    <row r="144">
      <c r="P144">
        <v>238464474.60799986</v>
      </c>
    </row>
    <row r="859">
      <c r="I859" t="str">
        <v>대우당진</v>
      </c>
      <c r="K859" t="str">
        <v>65852-BY000</v>
      </c>
      <c r="M859" t="str">
        <v>5,844</v>
      </c>
      <c r="R859">
        <v>1137</v>
      </c>
    </row>
    <row r="860">
      <c r="I860" t="str">
        <v>대우당진</v>
      </c>
      <c r="K860" t="str">
        <v>65852-AT000</v>
      </c>
      <c r="M860" t="str">
        <v>5,844</v>
      </c>
      <c r="R860">
        <v>1137</v>
      </c>
    </row>
    <row r="861">
      <c r="I861" t="str">
        <v>대우당진</v>
      </c>
      <c r="K861" t="str">
        <v>66798-2J700</v>
      </c>
      <c r="M861" t="str">
        <v>4,309</v>
      </c>
      <c r="R861">
        <v>1174</v>
      </c>
    </row>
    <row r="862">
      <c r="I862" t="str">
        <v>대우당진</v>
      </c>
      <c r="K862" t="str">
        <v>66724-2J700</v>
      </c>
      <c r="M862" t="str">
        <v>4,158</v>
      </c>
      <c r="R862">
        <v>1245</v>
      </c>
    </row>
    <row r="863">
      <c r="I863" t="str">
        <v>대우포승</v>
      </c>
      <c r="K863" t="str">
        <v>65852-L3000</v>
      </c>
      <c r="M863" t="str">
        <v>2,942</v>
      </c>
      <c r="R863">
        <v>1268</v>
      </c>
    </row>
    <row r="864">
      <c r="I864" t="str">
        <v>대우포승</v>
      </c>
      <c r="K864" t="str">
        <v>65522-L8400</v>
      </c>
      <c r="M864" t="str">
        <v>6,112</v>
      </c>
      <c r="R864">
        <v>1268</v>
      </c>
    </row>
    <row r="865">
      <c r="I865" t="str">
        <v>대우포승</v>
      </c>
      <c r="K865" t="str">
        <v>65630-L2000</v>
      </c>
      <c r="M865" t="str">
        <v>11,725</v>
      </c>
      <c r="R865">
        <v>1268</v>
      </c>
    </row>
    <row r="866">
      <c r="I866" t="str">
        <v>대우포승</v>
      </c>
      <c r="K866" t="str">
        <v>65630-L2010</v>
      </c>
      <c r="M866" t="str">
        <v>11,624</v>
      </c>
      <c r="R866">
        <v>1268</v>
      </c>
    </row>
    <row r="867">
      <c r="I867" t="str">
        <v>대우포승</v>
      </c>
      <c r="K867" t="str">
        <v>65630-L2020</v>
      </c>
      <c r="M867" t="str">
        <v>11,256</v>
      </c>
      <c r="R867">
        <v>1268</v>
      </c>
    </row>
    <row r="868">
      <c r="I868" t="str">
        <v>대우포승</v>
      </c>
      <c r="K868" t="str">
        <v>65630-L5000</v>
      </c>
      <c r="M868" t="str">
        <v>10,014</v>
      </c>
      <c r="R868">
        <v>1268</v>
      </c>
    </row>
    <row r="869">
      <c r="I869" t="str">
        <v>대우포승</v>
      </c>
      <c r="K869" t="str">
        <v>65630-L5010</v>
      </c>
      <c r="M869" t="str">
        <v>9,635</v>
      </c>
      <c r="R869">
        <v>1268</v>
      </c>
    </row>
    <row r="870">
      <c r="I870" t="str">
        <v>대우포승</v>
      </c>
      <c r="K870" t="str">
        <v>65630-L8400</v>
      </c>
      <c r="M870" t="str">
        <v>7,913</v>
      </c>
      <c r="R870">
        <v>1268</v>
      </c>
    </row>
    <row r="871">
      <c r="I871" t="str">
        <v>대우포승</v>
      </c>
      <c r="K871" t="str">
        <v>65630-L2800</v>
      </c>
      <c r="M871" t="str">
        <v>11,609</v>
      </c>
      <c r="R871">
        <v>1267</v>
      </c>
    </row>
  </sheetData>
  <ignoredErrors>
    <ignoredError numberStoredAsText="1" sqref="A1:AI871"/>
  </ignoredErrors>
</worksheet>
</file>

<file path=xl/worksheets/sheet2.xml><?xml version="1.0" encoding="utf-8"?>
<worksheet xmlns="http://schemas.openxmlformats.org/spreadsheetml/2006/main" xmlns:r="http://schemas.openxmlformats.org/officeDocument/2006/relationships">
  <dimension ref="A1:AH899"/>
  <sheetViews>
    <sheetView workbookViewId="0" rightToLeft="0"/>
  </sheetViews>
  <sheetData>
    <row r="1">
      <c r="AD1">
        <v>362</v>
      </c>
    </row>
    <row r="3">
      <c r="M3">
        <v>14.5</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65511-A3000</v>
      </c>
      <c r="D7" t="str">
        <v>PNL ASS'Y RR FLR FR</v>
      </c>
      <c r="E7">
        <v>11705</v>
      </c>
      <c r="F7">
        <v>2610</v>
      </c>
      <c r="G7">
        <v>30550050</v>
      </c>
      <c r="I7" t="str">
        <v>풍기서산</v>
      </c>
      <c r="J7" t="str">
        <v>TAM</v>
      </c>
      <c r="K7" t="str">
        <v>65511-A3000</v>
      </c>
      <c r="L7" t="str">
        <v>PNL ASS'Y RR FLR FR</v>
      </c>
      <c r="N7">
        <v>9520.4</v>
      </c>
    </row>
    <row r="8">
      <c r="H8" t="str">
        <v>사급</v>
      </c>
      <c r="I8" t="str">
        <v>대우당진</v>
      </c>
      <c r="J8" t="str">
        <v>TAM</v>
      </c>
      <c r="K8" t="str">
        <v>65512-A3000</v>
      </c>
      <c r="L8" t="str">
        <v>PNL-RR FLR FR</v>
      </c>
      <c r="M8">
        <v>1</v>
      </c>
      <c r="N8">
        <v>4421</v>
      </c>
      <c r="O8">
        <v>2610</v>
      </c>
      <c r="P8">
        <v>11538810</v>
      </c>
    </row>
    <row r="9">
      <c r="H9" t="str">
        <v>하드웨어</v>
      </c>
      <c r="I9" t="str">
        <v>삼진스틸</v>
      </c>
      <c r="K9" t="str">
        <v>13905-06000</v>
      </c>
      <c r="L9" t="str">
        <v>NUT</v>
      </c>
      <c r="M9">
        <v>1</v>
      </c>
      <c r="N9">
        <v>11.400000000000002</v>
      </c>
      <c r="O9">
        <v>2610</v>
      </c>
      <c r="P9">
        <v>29754.000000000007</v>
      </c>
    </row>
    <row r="10">
      <c r="H10" t="str">
        <v>태창금속</v>
      </c>
      <c r="I10" t="str">
        <v>태창금속</v>
      </c>
      <c r="J10" t="str">
        <v>TAM</v>
      </c>
      <c r="K10" t="str">
        <v>65522-A3000</v>
      </c>
      <c r="L10" t="str">
        <v>EXTN RR FLOOR</v>
      </c>
      <c r="M10">
        <v>1</v>
      </c>
      <c r="N10">
        <v>3083</v>
      </c>
      <c r="O10">
        <v>2610</v>
      </c>
      <c r="P10">
        <v>8046630</v>
      </c>
      <c r="R10">
        <v>1045.2</v>
      </c>
      <c r="S10">
        <v>3083</v>
      </c>
      <c r="T10" t="str">
        <v>SPCD</v>
      </c>
      <c r="U10">
        <v>0.65</v>
      </c>
      <c r="V10">
        <v>1480</v>
      </c>
      <c r="W10">
        <v>390</v>
      </c>
      <c r="X10">
        <v>1</v>
      </c>
      <c r="Y10">
        <v>7.85</v>
      </c>
      <c r="Z10">
        <v>2.95</v>
      </c>
      <c r="AA10" t="str">
        <v>스크랩금액</v>
      </c>
      <c r="AB10">
        <v>2610</v>
      </c>
      <c r="AC10">
        <v>1.4700000000000002</v>
      </c>
      <c r="AD10">
        <v>362</v>
      </c>
      <c r="AE10">
        <v>1388885.4000000004</v>
      </c>
    </row>
    <row r="11">
      <c r="H11" t="str">
        <v>사급</v>
      </c>
      <c r="I11" t="str">
        <v>민현</v>
      </c>
      <c r="J11" t="str">
        <v>TAM</v>
      </c>
      <c r="K11" t="str">
        <v>65837-A3000</v>
      </c>
      <c r="L11" t="str">
        <v>BRAKET ASSY 2ND SEAT MTG OTR LH</v>
      </c>
      <c r="M11">
        <v>1</v>
      </c>
      <c r="N11">
        <v>1006</v>
      </c>
      <c r="O11">
        <v>2610</v>
      </c>
      <c r="P11">
        <v>2625660</v>
      </c>
    </row>
    <row r="12">
      <c r="H12" t="str">
        <v>사급</v>
      </c>
      <c r="I12" t="str">
        <v>민현</v>
      </c>
      <c r="J12" t="str">
        <v>TAM</v>
      </c>
      <c r="K12" t="str">
        <v>65847-A3000</v>
      </c>
      <c r="L12" t="str">
        <v>BRAKET ASSY 2ND SEAT MTG OTR RH</v>
      </c>
      <c r="M12">
        <v>1</v>
      </c>
      <c r="N12">
        <v>857</v>
      </c>
      <c r="O12">
        <v>2610</v>
      </c>
      <c r="P12">
        <v>2236770</v>
      </c>
    </row>
    <row r="13">
      <c r="H13" t="str">
        <v>사급</v>
      </c>
      <c r="I13" t="str">
        <v>민현</v>
      </c>
      <c r="J13" t="str">
        <v>TAM</v>
      </c>
      <c r="K13" t="str">
        <v>65821-1Y800</v>
      </c>
      <c r="L13" t="str">
        <v>BRKT ASSY-RR SEAT CUSHION MTG</v>
      </c>
      <c r="M13">
        <v>2</v>
      </c>
      <c r="N13">
        <v>142</v>
      </c>
      <c r="O13">
        <v>2610</v>
      </c>
      <c r="P13">
        <v>741240</v>
      </c>
    </row>
    <row r="14">
      <c r="A14" t="str">
        <v>풍기서산</v>
      </c>
      <c r="B14" t="str">
        <v>TAM</v>
      </c>
      <c r="C14" t="str">
        <v>65511-A3500</v>
      </c>
      <c r="D14" t="str">
        <v>PNL ASS'Y RR FLR FR</v>
      </c>
      <c r="E14">
        <v>12014</v>
      </c>
      <c r="F14">
        <v>290</v>
      </c>
      <c r="G14">
        <v>3484060</v>
      </c>
      <c r="I14" t="str">
        <v>풍기서산</v>
      </c>
      <c r="J14" t="str">
        <v>TAM</v>
      </c>
      <c r="K14" t="str">
        <v>65511-A3500</v>
      </c>
      <c r="L14" t="str">
        <v>PNL ASS'Y RR FLR FR</v>
      </c>
      <c r="N14">
        <v>9778.4</v>
      </c>
    </row>
    <row r="15">
      <c r="H15" t="str">
        <v>사급</v>
      </c>
      <c r="I15" t="str">
        <v>대우당진</v>
      </c>
      <c r="J15" t="str">
        <v>TAM</v>
      </c>
      <c r="K15" t="str">
        <v>65512-A3000</v>
      </c>
      <c r="L15" t="str">
        <v>PNL-RR FLR FR</v>
      </c>
      <c r="M15">
        <v>1</v>
      </c>
      <c r="N15">
        <v>4421</v>
      </c>
      <c r="O15">
        <v>290</v>
      </c>
      <c r="P15">
        <v>1282090</v>
      </c>
    </row>
    <row r="16">
      <c r="H16" t="str">
        <v>하드웨어</v>
      </c>
      <c r="I16" t="str">
        <v>삼진스틸</v>
      </c>
      <c r="K16" t="str">
        <v>13905-06000</v>
      </c>
      <c r="L16" t="str">
        <v>NUT</v>
      </c>
      <c r="M16">
        <v>1</v>
      </c>
      <c r="N16">
        <v>11.400000000000002</v>
      </c>
      <c r="O16">
        <v>290</v>
      </c>
      <c r="P16">
        <v>3306.0000000000005</v>
      </c>
    </row>
    <row r="17">
      <c r="H17" t="str">
        <v>태창금속</v>
      </c>
      <c r="I17" t="str">
        <v>태창금속</v>
      </c>
      <c r="J17" t="str">
        <v>TAM</v>
      </c>
      <c r="K17" t="str">
        <v>65522-A3000</v>
      </c>
      <c r="L17" t="str">
        <v>EXTN RR FLOOR</v>
      </c>
      <c r="M17">
        <v>1</v>
      </c>
      <c r="N17">
        <v>3083</v>
      </c>
      <c r="O17">
        <v>290</v>
      </c>
      <c r="P17">
        <v>894070</v>
      </c>
      <c r="R17">
        <v>1045.2</v>
      </c>
      <c r="S17">
        <v>3083</v>
      </c>
      <c r="T17" t="str">
        <v>SPCD</v>
      </c>
      <c r="U17">
        <v>0.65</v>
      </c>
      <c r="V17">
        <v>1480</v>
      </c>
      <c r="W17">
        <v>390</v>
      </c>
      <c r="X17">
        <v>1</v>
      </c>
      <c r="Y17">
        <v>7.85</v>
      </c>
      <c r="Z17">
        <v>2.95</v>
      </c>
      <c r="AA17" t="str">
        <v>스크랩금액</v>
      </c>
      <c r="AB17">
        <v>290</v>
      </c>
      <c r="AC17">
        <v>1.4700000000000002</v>
      </c>
      <c r="AD17">
        <v>362</v>
      </c>
      <c r="AE17">
        <v>154320.60000000003</v>
      </c>
    </row>
    <row r="18">
      <c r="H18" t="str">
        <v>사급</v>
      </c>
      <c r="I18" t="str">
        <v>민현</v>
      </c>
      <c r="J18" t="str">
        <v>TAM</v>
      </c>
      <c r="K18" t="str">
        <v>65837-A3000</v>
      </c>
      <c r="L18" t="str">
        <v>BRAKET ASSY 2ND SEAT MTG OTR LH</v>
      </c>
      <c r="M18">
        <v>1</v>
      </c>
      <c r="N18">
        <v>1006</v>
      </c>
      <c r="O18">
        <v>290</v>
      </c>
      <c r="P18">
        <v>291740</v>
      </c>
    </row>
    <row r="19">
      <c r="H19" t="str">
        <v>사급</v>
      </c>
      <c r="I19" t="str">
        <v>민현</v>
      </c>
      <c r="J19" t="str">
        <v>TAM</v>
      </c>
      <c r="K19" t="str">
        <v>65847-A3000</v>
      </c>
      <c r="L19" t="str">
        <v>BRAKET ASSY 2ND SEAT MTG OTR RH</v>
      </c>
      <c r="M19">
        <v>1</v>
      </c>
      <c r="N19">
        <v>857</v>
      </c>
      <c r="O19">
        <v>290</v>
      </c>
      <c r="P19">
        <v>248530</v>
      </c>
    </row>
    <row r="20">
      <c r="H20" t="str">
        <v>사급</v>
      </c>
      <c r="I20" t="str">
        <v>민현</v>
      </c>
      <c r="J20" t="str">
        <v>TAM</v>
      </c>
      <c r="K20" t="str">
        <v>65821-1Y800</v>
      </c>
      <c r="L20" t="str">
        <v>BRKT ASSY-RR SEAT CUSHION MTG</v>
      </c>
      <c r="M20">
        <v>1</v>
      </c>
      <c r="N20">
        <v>142</v>
      </c>
      <c r="O20">
        <v>290</v>
      </c>
      <c r="P20">
        <v>41180</v>
      </c>
    </row>
    <row r="21">
      <c r="H21" t="str">
        <v>사급</v>
      </c>
      <c r="I21" t="str">
        <v>오토다임</v>
      </c>
      <c r="J21" t="str">
        <v>TAM</v>
      </c>
      <c r="K21" t="str">
        <v>65523-A3500</v>
      </c>
      <c r="L21" t="str">
        <v>SUPT-BOARD MTG MBR RR LH</v>
      </c>
      <c r="M21">
        <v>2</v>
      </c>
      <c r="N21">
        <v>258</v>
      </c>
      <c r="O21">
        <v>290</v>
      </c>
      <c r="P21">
        <v>149640</v>
      </c>
    </row>
    <row r="22">
      <c r="A22" t="str">
        <v>풍기서산</v>
      </c>
      <c r="B22" t="str">
        <v>TAM</v>
      </c>
      <c r="C22" t="str">
        <v>65711-A3000</v>
      </c>
      <c r="D22" t="str">
        <v>MBR-RR FLR SIDE LH</v>
      </c>
      <c r="E22">
        <v>6458</v>
      </c>
      <c r="F22">
        <v>2900</v>
      </c>
      <c r="G22">
        <v>18728200</v>
      </c>
      <c r="I22" t="str">
        <v>풍기서산</v>
      </c>
      <c r="J22" t="str">
        <v>TAM</v>
      </c>
      <c r="K22" t="str">
        <v>65711-A3000</v>
      </c>
      <c r="L22" t="str">
        <v>MBR-RR FLR SIDE LH</v>
      </c>
      <c r="N22">
        <v>5005.3</v>
      </c>
    </row>
    <row r="23">
      <c r="H23" t="str">
        <v>태창금속</v>
      </c>
      <c r="I23" t="str">
        <v>태창금속</v>
      </c>
      <c r="J23" t="str">
        <v>TAM</v>
      </c>
      <c r="K23" t="str">
        <v>65712-A3000</v>
      </c>
      <c r="L23" t="str">
        <v>MBR RR FLR SIDE LH</v>
      </c>
      <c r="M23">
        <v>1</v>
      </c>
      <c r="N23">
        <v>4527</v>
      </c>
      <c r="O23">
        <v>2900</v>
      </c>
      <c r="P23">
        <v>13128300</v>
      </c>
      <c r="R23">
        <v>1268.2</v>
      </c>
      <c r="S23">
        <v>4527</v>
      </c>
      <c r="T23" t="str">
        <v>SGAFC590DP</v>
      </c>
      <c r="U23">
        <v>1.4</v>
      </c>
      <c r="V23">
        <v>860</v>
      </c>
      <c r="W23">
        <v>378</v>
      </c>
      <c r="X23">
        <v>1</v>
      </c>
      <c r="Y23">
        <v>7.85</v>
      </c>
      <c r="Z23">
        <v>3.57</v>
      </c>
      <c r="AA23" t="str">
        <v>스크랩금액</v>
      </c>
      <c r="AB23">
        <v>2900</v>
      </c>
      <c r="AC23">
        <v>1.2519999999999998</v>
      </c>
      <c r="AD23">
        <v>362</v>
      </c>
      <c r="AE23">
        <v>1314349.5999999996</v>
      </c>
    </row>
    <row r="24">
      <c r="H24" t="str">
        <v>사급</v>
      </c>
      <c r="I24" t="str">
        <v>세진오토</v>
      </c>
      <c r="J24" t="str">
        <v>TAM</v>
      </c>
      <c r="K24" t="str">
        <v>65779-1Y010</v>
      </c>
      <c r="L24" t="str">
        <v>BRKT BRAKE-HOSE RR, LH</v>
      </c>
      <c r="M24">
        <v>1</v>
      </c>
      <c r="N24">
        <v>57</v>
      </c>
      <c r="O24">
        <v>2900</v>
      </c>
      <c r="P24">
        <v>165300</v>
      </c>
    </row>
    <row r="25">
      <c r="H25" t="str">
        <v>사급</v>
      </c>
      <c r="I25" t="str">
        <v>아신금속</v>
      </c>
      <c r="J25" t="str">
        <v>TAM</v>
      </c>
      <c r="K25" t="str">
        <v>65798-1Y000</v>
      </c>
      <c r="L25" t="str">
        <v xml:space="preserve">BAR-MUFFLER HANGER NO.2 </v>
      </c>
      <c r="M25">
        <v>1</v>
      </c>
      <c r="N25">
        <v>421.3</v>
      </c>
      <c r="O25">
        <v>2900</v>
      </c>
      <c r="P25">
        <v>1221770</v>
      </c>
    </row>
    <row r="26">
      <c r="A26" t="str">
        <v>풍기서산</v>
      </c>
      <c r="B26" t="str">
        <v>TAM</v>
      </c>
      <c r="C26" t="str">
        <v>65721-A3000</v>
      </c>
      <c r="D26" t="str">
        <v>MBR-RR FLR SIDE RH</v>
      </c>
      <c r="E26">
        <v>5624</v>
      </c>
      <c r="F26">
        <v>4100</v>
      </c>
      <c r="G26">
        <v>23058400</v>
      </c>
      <c r="I26" t="str">
        <v>풍기서산</v>
      </c>
      <c r="J26" t="str">
        <v>TAM</v>
      </c>
      <c r="K26" t="str">
        <v>65721-A3000</v>
      </c>
      <c r="L26" t="str">
        <v>MBR-RR FLR SIDE RH</v>
      </c>
      <c r="N26">
        <v>4584</v>
      </c>
    </row>
    <row r="27">
      <c r="H27" t="str">
        <v>태창금속</v>
      </c>
      <c r="I27" t="str">
        <v>태창금속</v>
      </c>
      <c r="J27" t="str">
        <v>TAM</v>
      </c>
      <c r="K27" t="str">
        <v>65722-A3000</v>
      </c>
      <c r="L27" t="str">
        <v>MBR RR FLR SIDE RH</v>
      </c>
      <c r="M27">
        <v>1</v>
      </c>
      <c r="N27">
        <v>4527</v>
      </c>
      <c r="O27">
        <v>4100</v>
      </c>
      <c r="P27">
        <v>18560700</v>
      </c>
      <c r="R27">
        <v>1268.2</v>
      </c>
      <c r="S27">
        <v>4527</v>
      </c>
      <c r="T27" t="str">
        <v>SGAFC590DP</v>
      </c>
      <c r="U27">
        <v>1.4</v>
      </c>
      <c r="V27">
        <v>860</v>
      </c>
      <c r="W27">
        <v>378</v>
      </c>
      <c r="X27">
        <v>1</v>
      </c>
      <c r="Y27">
        <v>7.85</v>
      </c>
      <c r="Z27">
        <v>3.57</v>
      </c>
      <c r="AA27" t="str">
        <v>스크랩금액</v>
      </c>
      <c r="AB27">
        <v>4100</v>
      </c>
      <c r="AC27">
        <v>1.266</v>
      </c>
      <c r="AD27">
        <v>362</v>
      </c>
      <c r="AE27">
        <v>1878997.2000000002</v>
      </c>
    </row>
    <row r="28">
      <c r="H28" t="str">
        <v>사급</v>
      </c>
      <c r="I28" t="str">
        <v>세진오토</v>
      </c>
      <c r="J28" t="str">
        <v>TAM</v>
      </c>
      <c r="K28" t="str">
        <v>65789-1Y010</v>
      </c>
      <c r="L28" t="str">
        <v>BRKT BRAKE-HOSE RR, LH</v>
      </c>
      <c r="M28">
        <v>1</v>
      </c>
      <c r="N28">
        <v>57</v>
      </c>
      <c r="O28">
        <v>4100</v>
      </c>
      <c r="P28">
        <v>233700</v>
      </c>
    </row>
    <row r="29">
      <c r="A29" t="str">
        <v>풍기서산</v>
      </c>
      <c r="B29" t="str">
        <v>TAM BEV</v>
      </c>
      <c r="C29" t="str">
        <v>65510-E2510</v>
      </c>
      <c r="D29" t="str">
        <v>PNL ASS'Y RR FLR FR BEV</v>
      </c>
      <c r="E29">
        <v>13445</v>
      </c>
      <c r="F29">
        <v>1080</v>
      </c>
      <c r="G29">
        <v>14520600</v>
      </c>
      <c r="I29" t="str">
        <v>풍기서산</v>
      </c>
      <c r="J29" t="str">
        <v>TAM BEV</v>
      </c>
      <c r="K29" t="str">
        <v>65511-E2510</v>
      </c>
      <c r="L29" t="str">
        <v>RR FLOOR 일반</v>
      </c>
      <c r="N29">
        <v>10719.4</v>
      </c>
    </row>
    <row r="30">
      <c r="H30" t="str">
        <v>사급</v>
      </c>
      <c r="I30" t="str">
        <v>대우당진</v>
      </c>
      <c r="J30" t="str">
        <v>TAM BEV</v>
      </c>
      <c r="K30" t="str">
        <v>65512-E2510</v>
      </c>
      <c r="L30" t="str">
        <v>RR FLOOR 일반</v>
      </c>
      <c r="M30">
        <v>1</v>
      </c>
      <c r="N30">
        <v>4783</v>
      </c>
      <c r="O30">
        <v>1080</v>
      </c>
      <c r="P30">
        <v>5165640</v>
      </c>
    </row>
    <row r="31">
      <c r="H31" t="str">
        <v>하드웨어</v>
      </c>
      <c r="I31" t="str">
        <v>삼진스틸</v>
      </c>
      <c r="K31" t="str">
        <v>13905-06000</v>
      </c>
      <c r="L31" t="str">
        <v>NUT</v>
      </c>
      <c r="M31">
        <v>1</v>
      </c>
      <c r="N31">
        <v>11.400000000000002</v>
      </c>
      <c r="O31">
        <v>1080</v>
      </c>
      <c r="P31">
        <v>12312.000000000002</v>
      </c>
    </row>
    <row r="32">
      <c r="H32" t="str">
        <v>태창금속</v>
      </c>
      <c r="I32" t="str">
        <v>태창금속</v>
      </c>
      <c r="J32" t="str">
        <v>TAM BEV</v>
      </c>
      <c r="K32" t="str">
        <v>65522-E2510</v>
      </c>
      <c r="L32" t="str">
        <v>RR FLR RR</v>
      </c>
      <c r="M32">
        <v>1</v>
      </c>
      <c r="N32">
        <v>3312</v>
      </c>
      <c r="O32">
        <v>1080</v>
      </c>
      <c r="P32">
        <v>3576960</v>
      </c>
      <c r="R32">
        <v>1104</v>
      </c>
      <c r="S32">
        <v>3312</v>
      </c>
      <c r="T32" t="str">
        <v>SPRC440</v>
      </c>
      <c r="U32">
        <v>0.65</v>
      </c>
      <c r="V32">
        <v>1400</v>
      </c>
      <c r="W32">
        <v>420</v>
      </c>
      <c r="X32">
        <v>1</v>
      </c>
      <c r="Y32">
        <v>7.85</v>
      </c>
      <c r="Z32">
        <v>3</v>
      </c>
      <c r="AA32" t="str">
        <v>스크랩금액</v>
      </c>
      <c r="AB32">
        <v>1080</v>
      </c>
      <c r="AC32">
        <v>2.0495</v>
      </c>
      <c r="AD32">
        <v>362</v>
      </c>
      <c r="AE32">
        <v>801272.52</v>
      </c>
    </row>
    <row r="33">
      <c r="H33" t="str">
        <v>하드웨어</v>
      </c>
      <c r="I33" t="str">
        <v>삼진스틸</v>
      </c>
      <c r="K33" t="str">
        <v>12900-06161</v>
      </c>
      <c r="L33" t="str">
        <v>BOLT</v>
      </c>
      <c r="M33">
        <v>2</v>
      </c>
      <c r="N33">
        <v>0</v>
      </c>
      <c r="O33">
        <v>1080</v>
      </c>
      <c r="P33">
        <v>0</v>
      </c>
    </row>
    <row r="34">
      <c r="H34" t="str">
        <v>사급</v>
      </c>
      <c r="I34" t="str">
        <v>민현</v>
      </c>
      <c r="J34" t="str">
        <v>TAM BEV</v>
      </c>
      <c r="K34" t="str">
        <v>65837-A3000</v>
      </c>
      <c r="L34" t="str">
        <v>BRAKET ASSY 2ND SEAT MTG OTR LH</v>
      </c>
      <c r="M34">
        <v>1</v>
      </c>
      <c r="N34">
        <v>1006</v>
      </c>
      <c r="O34">
        <v>1080</v>
      </c>
      <c r="P34">
        <v>1086480</v>
      </c>
    </row>
    <row r="35">
      <c r="H35" t="str">
        <v>사급</v>
      </c>
      <c r="I35" t="str">
        <v>민현</v>
      </c>
      <c r="J35" t="str">
        <v>TAM BEV</v>
      </c>
      <c r="K35" t="str">
        <v>65847-A3000</v>
      </c>
      <c r="L35" t="str">
        <v>BRAKET ASSY 2ND SEAT MTG OTR RH</v>
      </c>
      <c r="M35">
        <v>1</v>
      </c>
      <c r="N35">
        <v>857</v>
      </c>
      <c r="O35">
        <v>1080</v>
      </c>
      <c r="P35">
        <v>925560</v>
      </c>
    </row>
    <row r="36">
      <c r="H36" t="str">
        <v>사급</v>
      </c>
      <c r="I36" t="str">
        <v>민현</v>
      </c>
      <c r="J36" t="str">
        <v>TAM BEV</v>
      </c>
      <c r="K36" t="str">
        <v>65821-1Y800</v>
      </c>
      <c r="L36" t="str">
        <v>BRKT ASSY-RR SEAT CUSHION MTG</v>
      </c>
      <c r="M36">
        <v>1</v>
      </c>
      <c r="N36">
        <v>142</v>
      </c>
      <c r="O36">
        <v>1080</v>
      </c>
      <c r="P36">
        <v>153360</v>
      </c>
    </row>
    <row r="37">
      <c r="H37" t="str">
        <v>사급</v>
      </c>
      <c r="I37" t="str">
        <v>세진오토</v>
      </c>
      <c r="J37" t="str">
        <v>TAM BEV</v>
      </c>
      <c r="K37" t="str">
        <v>65567-E2510</v>
      </c>
      <c r="L37" t="str">
        <v>BRKT  ASSY-RR SEAT MTG CTR</v>
      </c>
      <c r="M37">
        <v>1</v>
      </c>
      <c r="N37">
        <v>608</v>
      </c>
      <c r="O37">
        <v>1080</v>
      </c>
      <c r="P37">
        <v>656640</v>
      </c>
    </row>
    <row r="38">
      <c r="A38" t="str">
        <v>풍기서산</v>
      </c>
      <c r="B38" t="str">
        <v>TAM BEV</v>
      </c>
      <c r="C38" t="str">
        <v>65510-E2520</v>
      </c>
      <c r="D38" t="str">
        <v>RR FLOOR BEV VAN</v>
      </c>
      <c r="E38">
        <v>13519</v>
      </c>
      <c r="F38">
        <v>120</v>
      </c>
      <c r="G38">
        <v>1622280</v>
      </c>
      <c r="I38" t="str">
        <v>풍기서산</v>
      </c>
      <c r="J38" t="str">
        <v>TAM BEV</v>
      </c>
      <c r="K38" t="str">
        <v>65511-E2520</v>
      </c>
      <c r="L38" t="str">
        <v>RR FLOOR BEV VAN</v>
      </c>
      <c r="N38">
        <v>10835.4</v>
      </c>
    </row>
    <row r="39">
      <c r="H39" t="str">
        <v>사급</v>
      </c>
      <c r="I39" t="str">
        <v>대우당진</v>
      </c>
      <c r="J39" t="str">
        <v>TAM BEV</v>
      </c>
      <c r="K39" t="str">
        <v>65512-E2510</v>
      </c>
      <c r="L39" t="str">
        <v>RR FLOOR BEV VAN</v>
      </c>
      <c r="M39">
        <v>1</v>
      </c>
      <c r="N39">
        <v>4783</v>
      </c>
      <c r="O39">
        <v>120</v>
      </c>
      <c r="P39">
        <v>573960</v>
      </c>
    </row>
    <row r="40">
      <c r="H40" t="str">
        <v>하드웨어</v>
      </c>
      <c r="I40" t="str">
        <v>삼진스틸</v>
      </c>
      <c r="K40" t="str">
        <v>13905-06000</v>
      </c>
      <c r="L40" t="str">
        <v>NUT</v>
      </c>
      <c r="M40">
        <v>1</v>
      </c>
      <c r="N40">
        <v>11.400000000000002</v>
      </c>
      <c r="O40">
        <v>120</v>
      </c>
      <c r="P40">
        <v>1368.0000000000002</v>
      </c>
    </row>
    <row r="41">
      <c r="H41" t="str">
        <v>태창금속</v>
      </c>
      <c r="I41" t="str">
        <v>태창금속</v>
      </c>
      <c r="J41" t="str">
        <v>TAM BEV</v>
      </c>
      <c r="K41" t="str">
        <v>65522-E2510</v>
      </c>
      <c r="L41" t="str">
        <v>RR FLR RR</v>
      </c>
      <c r="M41">
        <v>1</v>
      </c>
      <c r="N41">
        <v>3312</v>
      </c>
      <c r="O41">
        <v>120</v>
      </c>
      <c r="P41">
        <v>397440</v>
      </c>
      <c r="R41">
        <v>1104</v>
      </c>
      <c r="S41">
        <v>3312</v>
      </c>
      <c r="T41" t="str">
        <v>SPRC440</v>
      </c>
      <c r="U41">
        <v>0.65</v>
      </c>
      <c r="V41">
        <v>1400</v>
      </c>
      <c r="W41">
        <v>420</v>
      </c>
      <c r="X41">
        <v>1</v>
      </c>
      <c r="Y41">
        <v>7.85</v>
      </c>
      <c r="Z41">
        <v>3</v>
      </c>
      <c r="AA41" t="str">
        <v>스크랩금액</v>
      </c>
      <c r="AB41">
        <v>120</v>
      </c>
      <c r="AC41">
        <v>2.0495</v>
      </c>
      <c r="AD41">
        <v>362</v>
      </c>
      <c r="AE41">
        <v>89030.28</v>
      </c>
    </row>
    <row r="42">
      <c r="H42" t="str">
        <v>하드웨어</v>
      </c>
      <c r="I42" t="str">
        <v>삼진스틸</v>
      </c>
      <c r="K42" t="str">
        <v>12900-06161</v>
      </c>
      <c r="L42" t="str">
        <v>BOLT</v>
      </c>
      <c r="M42">
        <v>2</v>
      </c>
      <c r="N42">
        <v>0</v>
      </c>
      <c r="O42">
        <v>120</v>
      </c>
      <c r="P42">
        <v>0</v>
      </c>
    </row>
    <row r="43">
      <c r="H43" t="str">
        <v>사급</v>
      </c>
      <c r="I43" t="str">
        <v>민현</v>
      </c>
      <c r="J43" t="str">
        <v>TAM BEV</v>
      </c>
      <c r="K43" t="str">
        <v>65837-A3000</v>
      </c>
      <c r="L43" t="str">
        <v>BRAKET ASSY 2ND SEAT MTG OTR LH</v>
      </c>
      <c r="M43">
        <v>1</v>
      </c>
      <c r="N43">
        <v>1006</v>
      </c>
      <c r="O43">
        <v>120</v>
      </c>
      <c r="P43">
        <v>120720</v>
      </c>
    </row>
    <row r="44">
      <c r="H44" t="str">
        <v>사급</v>
      </c>
      <c r="I44" t="str">
        <v>민현</v>
      </c>
      <c r="J44" t="str">
        <v>TAM BEV</v>
      </c>
      <c r="K44" t="str">
        <v>65847-A3000</v>
      </c>
      <c r="L44" t="str">
        <v>BRAKET ASSY 2ND SEAT MTG OTR RH</v>
      </c>
      <c r="M44">
        <v>1</v>
      </c>
      <c r="N44">
        <v>857</v>
      </c>
      <c r="O44">
        <v>120</v>
      </c>
      <c r="P44">
        <v>102840</v>
      </c>
    </row>
    <row r="45">
      <c r="H45" t="str">
        <v>사급</v>
      </c>
      <c r="I45" t="str">
        <v>오토다임</v>
      </c>
      <c r="J45" t="str">
        <v>TAM BEV</v>
      </c>
      <c r="K45" t="str">
        <v>65523-A3500</v>
      </c>
      <c r="L45" t="str">
        <v>SUPT-BOARD MTG MBR RR LH</v>
      </c>
      <c r="M45">
        <v>1</v>
      </c>
      <c r="N45">
        <v>258</v>
      </c>
      <c r="O45">
        <v>120</v>
      </c>
      <c r="P45">
        <v>30960</v>
      </c>
    </row>
    <row r="46">
      <c r="H46" t="str">
        <v>사급</v>
      </c>
      <c r="I46" t="str">
        <v>세진오토</v>
      </c>
      <c r="J46" t="str">
        <v>TAM BEV</v>
      </c>
      <c r="K46" t="str">
        <v>65567-E2510</v>
      </c>
      <c r="L46" t="str">
        <v>BRKT  ASSY-RR SEAT MTG CTR</v>
      </c>
      <c r="M46">
        <v>1</v>
      </c>
      <c r="N46">
        <v>608</v>
      </c>
      <c r="O46">
        <v>120</v>
      </c>
      <c r="P46">
        <v>72960</v>
      </c>
    </row>
    <row r="47">
      <c r="A47" t="str">
        <v>풍기서산</v>
      </c>
      <c r="B47" t="str">
        <v>TAM BEV</v>
      </c>
      <c r="C47" t="str">
        <v>65711-E2510</v>
      </c>
      <c r="D47" t="str">
        <v>MBR-RR FLR SIDE LH</v>
      </c>
      <c r="E47">
        <v>1200</v>
      </c>
      <c r="F47">
        <v>1380</v>
      </c>
      <c r="G47">
        <v>1656000</v>
      </c>
      <c r="I47" t="str">
        <v>풍기서산</v>
      </c>
      <c r="J47" t="str">
        <v>TAM BEV</v>
      </c>
      <c r="K47" t="str">
        <v>65712-E2510</v>
      </c>
      <c r="L47" t="str">
        <v>MBR-RR FLR SIDE LH</v>
      </c>
      <c r="N47">
        <v>4584</v>
      </c>
    </row>
    <row r="48">
      <c r="H48" t="str">
        <v>태창금속</v>
      </c>
      <c r="I48" t="str">
        <v>태창금속</v>
      </c>
      <c r="J48" t="str">
        <v>TAM BEV</v>
      </c>
      <c r="K48" t="str">
        <v>65712-A3000</v>
      </c>
      <c r="L48" t="str">
        <v>MBR RR FLR SIDE LH</v>
      </c>
      <c r="M48">
        <v>1</v>
      </c>
      <c r="N48">
        <v>4527</v>
      </c>
      <c r="O48">
        <v>1380</v>
      </c>
      <c r="P48">
        <v>6247260</v>
      </c>
      <c r="R48">
        <v>1268.2</v>
      </c>
      <c r="S48">
        <v>4527</v>
      </c>
      <c r="T48" t="str">
        <v>SGAFC590DP</v>
      </c>
      <c r="U48">
        <v>1.4</v>
      </c>
      <c r="V48">
        <v>860</v>
      </c>
      <c r="W48">
        <v>378</v>
      </c>
      <c r="X48">
        <v>1</v>
      </c>
      <c r="Y48">
        <v>7.85</v>
      </c>
      <c r="Z48">
        <v>3.57</v>
      </c>
      <c r="AA48" t="str">
        <v>스크랩금액</v>
      </c>
      <c r="AB48">
        <v>1380</v>
      </c>
      <c r="AC48">
        <v>1.266</v>
      </c>
      <c r="AD48">
        <v>362</v>
      </c>
      <c r="AE48">
        <v>632442.96</v>
      </c>
    </row>
    <row r="49">
      <c r="H49" t="str">
        <v>사급</v>
      </c>
      <c r="I49" t="str">
        <v>세진오토</v>
      </c>
      <c r="J49" t="str">
        <v>TAM BEV</v>
      </c>
      <c r="K49" t="str">
        <v>65779-1Y010</v>
      </c>
      <c r="L49" t="str">
        <v>BRKT BRAKE-HOSE RR, LH</v>
      </c>
      <c r="M49">
        <v>1</v>
      </c>
      <c r="N49">
        <v>57</v>
      </c>
      <c r="O49">
        <v>1380</v>
      </c>
      <c r="P49">
        <v>78660</v>
      </c>
    </row>
    <row r="50">
      <c r="A50" t="str">
        <v>풍기서산</v>
      </c>
      <c r="B50" t="str">
        <v>TAM BEV</v>
      </c>
      <c r="C50" t="str">
        <v>657A5-E2510</v>
      </c>
      <c r="D50" t="str">
        <v>BATTERY MT'G LH</v>
      </c>
      <c r="E50">
        <v>1200</v>
      </c>
      <c r="F50">
        <v>1380</v>
      </c>
      <c r="G50">
        <v>1656000</v>
      </c>
      <c r="I50" t="str">
        <v>풍기서산</v>
      </c>
      <c r="J50" t="str">
        <v>TAM BEV</v>
      </c>
      <c r="K50" t="str">
        <v>657A5-E2510</v>
      </c>
      <c r="L50" t="str">
        <v>BATTERY MT'G LH</v>
      </c>
      <c r="N50">
        <v>2397.5</v>
      </c>
    </row>
    <row r="51">
      <c r="H51" t="str">
        <v>사급</v>
      </c>
      <c r="I51" t="str">
        <v>대상</v>
      </c>
      <c r="J51" t="str">
        <v>TAM BEV</v>
      </c>
      <c r="K51" t="str">
        <v>657A6-E2510</v>
      </c>
      <c r="L51" t="str">
        <v>BATTERY MT'G LH</v>
      </c>
      <c r="M51">
        <v>1</v>
      </c>
      <c r="N51">
        <v>1064</v>
      </c>
      <c r="O51">
        <v>1380</v>
      </c>
      <c r="P51">
        <v>1468320</v>
      </c>
    </row>
    <row r="52">
      <c r="H52" t="str">
        <v>사급</v>
      </c>
      <c r="I52" t="str">
        <v>세진오토</v>
      </c>
      <c r="J52" t="str">
        <v>TAM BEV</v>
      </c>
      <c r="K52" t="str">
        <v>65598-E2510</v>
      </c>
      <c r="L52" t="str">
        <v xml:space="preserve">BRKT BATTERY MTG RR </v>
      </c>
      <c r="M52">
        <v>1</v>
      </c>
      <c r="N52">
        <v>875</v>
      </c>
      <c r="O52">
        <v>1380</v>
      </c>
      <c r="P52">
        <v>1207500</v>
      </c>
    </row>
    <row r="53">
      <c r="H53" t="str">
        <v>사급</v>
      </c>
      <c r="I53" t="str">
        <v>아신금속</v>
      </c>
      <c r="K53" t="str">
        <v>64749-CV000</v>
      </c>
      <c r="L53" t="str">
        <v>NUT-BATTERY MTG NO.2</v>
      </c>
      <c r="M53">
        <v>1</v>
      </c>
      <c r="N53">
        <v>458.5</v>
      </c>
      <c r="O53">
        <v>1380</v>
      </c>
      <c r="P53">
        <v>632730</v>
      </c>
    </row>
    <row r="54">
      <c r="A54" t="str">
        <v>풍기서산</v>
      </c>
      <c r="B54" t="str">
        <v>TAM BEV</v>
      </c>
      <c r="C54" t="str">
        <v>657B5-E2510</v>
      </c>
      <c r="D54" t="str">
        <v>BATTERY MT'G RH</v>
      </c>
      <c r="E54">
        <v>1200</v>
      </c>
      <c r="F54">
        <v>1380</v>
      </c>
      <c r="G54">
        <v>1656000</v>
      </c>
      <c r="I54" t="str">
        <v>풍기서산</v>
      </c>
      <c r="J54" t="str">
        <v>TAM BEV</v>
      </c>
      <c r="K54" t="str">
        <v>657B5-E2510</v>
      </c>
      <c r="L54" t="str">
        <v>BATTERY MT'G RH</v>
      </c>
      <c r="N54">
        <v>2397.5</v>
      </c>
    </row>
    <row r="55">
      <c r="H55" t="str">
        <v>사급</v>
      </c>
      <c r="I55" t="str">
        <v>대상</v>
      </c>
      <c r="J55" t="str">
        <v>TAM BEV</v>
      </c>
      <c r="K55" t="str">
        <v>657B6-E2510</v>
      </c>
      <c r="L55" t="str">
        <v>BATTERY MT'G RH</v>
      </c>
      <c r="M55">
        <v>1</v>
      </c>
      <c r="N55">
        <v>1064</v>
      </c>
      <c r="O55">
        <v>1380</v>
      </c>
      <c r="P55">
        <v>1468320</v>
      </c>
    </row>
    <row r="56">
      <c r="G56">
        <v>96931590</v>
      </c>
      <c r="H56" t="str">
        <v>사급</v>
      </c>
      <c r="I56" t="str">
        <v>세진오토</v>
      </c>
      <c r="J56" t="str">
        <v>TAM BEV</v>
      </c>
      <c r="K56" t="str">
        <v>65598-E2510</v>
      </c>
      <c r="L56" t="str">
        <v xml:space="preserve">BRKT BATTERY MTG RR </v>
      </c>
      <c r="M56">
        <v>1</v>
      </c>
      <c r="N56">
        <v>875</v>
      </c>
      <c r="O56">
        <v>1380</v>
      </c>
      <c r="P56">
        <v>1207500</v>
      </c>
      <c r="AE56">
        <v>6259298.5600000005</v>
      </c>
    </row>
    <row r="57">
      <c r="H57" t="str">
        <v>사급</v>
      </c>
      <c r="I57" t="str">
        <v>아신금속</v>
      </c>
      <c r="K57" t="str">
        <v>64749-CV000</v>
      </c>
      <c r="L57" t="str">
        <v>NUT-BATTERY MTG NO.2</v>
      </c>
      <c r="M57">
        <v>1</v>
      </c>
      <c r="N57">
        <v>458.5</v>
      </c>
      <c r="O57">
        <v>1380</v>
      </c>
      <c r="P57">
        <v>632730</v>
      </c>
    </row>
    <row r="59">
      <c r="P59">
        <v>87259410</v>
      </c>
    </row>
    <row r="891">
      <c r="I891" t="str">
        <v>풍기서산</v>
      </c>
      <c r="K891" t="str">
        <v>65511-A3000</v>
      </c>
      <c r="M891" t="str">
        <v>9,520</v>
      </c>
      <c r="R891">
        <v>1045.2</v>
      </c>
    </row>
    <row r="892">
      <c r="I892" t="str">
        <v>풍기서산</v>
      </c>
      <c r="K892" t="str">
        <v>65511-A3500</v>
      </c>
      <c r="M892" t="str">
        <v>9,778</v>
      </c>
      <c r="R892">
        <v>1045.2</v>
      </c>
    </row>
    <row r="893">
      <c r="I893" t="str">
        <v>풍기서산</v>
      </c>
      <c r="K893" t="str">
        <v>65711-A3000</v>
      </c>
      <c r="M893" t="str">
        <v>5,005</v>
      </c>
      <c r="R893">
        <v>1045.2</v>
      </c>
    </row>
    <row r="894">
      <c r="I894" t="str">
        <v>풍기서산</v>
      </c>
      <c r="K894" t="str">
        <v>65721-A3000</v>
      </c>
      <c r="M894" t="str">
        <v>4,584</v>
      </c>
      <c r="R894">
        <v>1268.2</v>
      </c>
    </row>
    <row r="895">
      <c r="I895" t="str">
        <v>풍기서산</v>
      </c>
      <c r="K895" t="str">
        <v>65511-E2510</v>
      </c>
      <c r="M895" t="str">
        <v>10,719</v>
      </c>
      <c r="R895">
        <v>1268.2</v>
      </c>
    </row>
    <row r="896">
      <c r="I896" t="str">
        <v>풍기서산</v>
      </c>
      <c r="K896" t="str">
        <v>65511-E2520</v>
      </c>
      <c r="M896" t="str">
        <v>10,835</v>
      </c>
      <c r="R896">
        <v>1104</v>
      </c>
    </row>
    <row r="897">
      <c r="I897" t="str">
        <v>풍기서산</v>
      </c>
      <c r="K897" t="str">
        <v>65712-E2510</v>
      </c>
      <c r="M897" t="str">
        <v>4,584</v>
      </c>
      <c r="R897">
        <v>1104</v>
      </c>
    </row>
    <row r="898">
      <c r="I898" t="str">
        <v>풍기서산</v>
      </c>
      <c r="K898" t="str">
        <v>657A5-E2510</v>
      </c>
      <c r="M898" t="str">
        <v>2,398</v>
      </c>
      <c r="R898">
        <v>1268.2</v>
      </c>
    </row>
    <row r="899">
      <c r="I899" t="str">
        <v>풍기서산</v>
      </c>
      <c r="K899" t="str">
        <v>657B5-E2510</v>
      </c>
      <c r="M899" t="str">
        <v>2,398</v>
      </c>
      <c r="R899">
        <v>1268.2</v>
      </c>
    </row>
  </sheetData>
  <ignoredErrors>
    <ignoredError numberStoredAsText="1" sqref="A1:AH899"/>
  </ignoredErrors>
</worksheet>
</file>

<file path=xl/worksheets/sheet3.xml><?xml version="1.0" encoding="utf-8"?>
<worksheet xmlns="http://schemas.openxmlformats.org/spreadsheetml/2006/main" xmlns:r="http://schemas.openxmlformats.org/officeDocument/2006/relationships">
  <dimension ref="A1:AH838"/>
  <sheetViews>
    <sheetView workbookViewId="0" rightToLeft="0"/>
  </sheetViews>
  <sheetData>
    <row r="1">
      <c r="AD1">
        <v>362</v>
      </c>
    </row>
    <row r="5">
      <c r="E5">
        <v>10</v>
      </c>
      <c r="F5">
        <v>11</v>
      </c>
    </row>
    <row r="6">
      <c r="A6" t="str">
        <v>납품처</v>
      </c>
      <c r="B6" t="str">
        <v>차종</v>
      </c>
      <c r="C6" t="str">
        <v>품번</v>
      </c>
      <c r="D6" t="str">
        <v>품명</v>
      </c>
      <c r="E6" t="str">
        <v>단가</v>
      </c>
      <c r="F6" t="str">
        <v>마감수량</v>
      </c>
      <c r="G6" t="str">
        <v>마감금액</v>
      </c>
      <c r="I6" t="str">
        <v>구매처</v>
      </c>
      <c r="J6" t="str">
        <v>차종</v>
      </c>
      <c r="K6" t="str">
        <v>품번</v>
      </c>
      <c r="L6" t="str">
        <v>품명</v>
      </c>
      <c r="M6" t="str">
        <v>소요량</v>
      </c>
      <c r="N6" t="str">
        <v>단가</v>
      </c>
      <c r="O6" t="str">
        <v>구매수량</v>
      </c>
      <c r="P6" t="str">
        <v>구매금액</v>
      </c>
      <c r="Q6" t="str">
        <v>비고</v>
      </c>
      <c r="R6" t="str">
        <v>KG단가</v>
      </c>
      <c r="S6" t="str">
        <v>단품단가</v>
      </c>
      <c r="T6" t="str">
        <v>재질</v>
      </c>
      <c r="U6" t="str">
        <v>두께</v>
      </c>
      <c r="V6" t="str">
        <v>폭</v>
      </c>
      <c r="W6" t="str">
        <v>길이</v>
      </c>
      <c r="X6" t="str">
        <v>SEP</v>
      </c>
      <c r="Y6" t="str">
        <v>비중</v>
      </c>
      <c r="Z6" t="str">
        <v>EA중량</v>
      </c>
      <c r="AB6" t="str">
        <v>실적수량</v>
      </c>
      <c r="AC6" t="str">
        <v>스크랩중량</v>
      </c>
      <c r="AD6" t="str">
        <v>스크랩 단가</v>
      </c>
      <c r="AE6" t="str">
        <v>스크랩금액</v>
      </c>
    </row>
    <row r="7">
      <c r="A7" t="str">
        <v>풍기서산</v>
      </c>
      <c r="B7" t="str">
        <v>TAM</v>
      </c>
      <c r="C7" t="str">
        <v>503666-L1000</v>
      </c>
      <c r="D7" t="str">
        <v>MBR NO1, LWR_방청</v>
      </c>
      <c r="E7">
        <v>3932</v>
      </c>
      <c r="F7">
        <v>25327.8</v>
      </c>
      <c r="G7">
        <f>E7*F7</f>
        <v>99588909.6</v>
      </c>
      <c r="I7" t="str">
        <v>다인</v>
      </c>
      <c r="J7" t="str">
        <v>N3</v>
      </c>
      <c r="K7">
        <v>503666</v>
      </c>
      <c r="L7" t="str">
        <v>MBR NO1, LWR_방청</v>
      </c>
      <c r="N7">
        <f>SUM(N8:N8)</f>
        <v>3474</v>
      </c>
    </row>
    <row r="8">
      <c r="H8" t="str">
        <v>사급</v>
      </c>
      <c r="I8" t="str">
        <v>태창금속</v>
      </c>
      <c r="J8" t="str">
        <v>N3</v>
      </c>
      <c r="K8">
        <v>503666</v>
      </c>
      <c r="L8" t="str">
        <v>MBR NO1, LWR_방청</v>
      </c>
      <c r="M8">
        <v>1</v>
      </c>
      <c r="N8">
        <f>S8</f>
        <v>3474</v>
      </c>
      <c r="O8">
        <f>$F$7*M8</f>
        <v>25327.8</v>
      </c>
      <c r="P8">
        <f>(N8*O8)*M8</f>
        <v>87988777.2</v>
      </c>
      <c r="R8">
        <v>1232</v>
      </c>
      <c r="S8">
        <f>ROUND((R8*Z8),0)</f>
        <v>3474</v>
      </c>
      <c r="T8" t="str">
        <v>SGAFH590FB</v>
      </c>
      <c r="U8">
        <v>2</v>
      </c>
      <c r="V8">
        <v>1110</v>
      </c>
      <c r="W8">
        <v>162</v>
      </c>
      <c r="X8">
        <v>1</v>
      </c>
      <c r="Y8">
        <v>7.85</v>
      </c>
      <c r="Z8">
        <f>ROUND((Y8*W8*V8*U8/1000000/X8),2)</f>
        <v>2.82</v>
      </c>
      <c r="AA8" t="str">
        <v>스크랩금액</v>
      </c>
      <c r="AB8">
        <f>F7</f>
        <v>25327.8</v>
      </c>
      <c r="AC8">
        <v>0.6159999999999997</v>
      </c>
      <c r="AD8">
        <f>$AD$1</f>
        <v>362</v>
      </c>
      <c r="AE8">
        <f>(AB8*AC8)*AD8</f>
        <v>5647896.777599997</v>
      </c>
    </row>
    <row r="9">
      <c r="A9" t="str">
        <v>풍기서산</v>
      </c>
      <c r="B9" t="str">
        <v>TAM</v>
      </c>
      <c r="C9" t="str">
        <v>503777-L1000</v>
      </c>
      <c r="D9" t="str">
        <v>MBR NO1, LWR_비방청</v>
      </c>
      <c r="E9">
        <v>3527</v>
      </c>
      <c r="F9">
        <v>2814.2000000000003</v>
      </c>
      <c r="G9">
        <f>E9*F9</f>
        <v>9925683.4</v>
      </c>
      <c r="I9" t="str">
        <v>다인</v>
      </c>
      <c r="J9" t="str">
        <v>N3</v>
      </c>
      <c r="K9">
        <v>503777</v>
      </c>
      <c r="L9" t="str">
        <v>MBR NO1, LWR_비방청</v>
      </c>
      <c r="N9">
        <f>S10</f>
        <v>3105</v>
      </c>
    </row>
    <row r="10">
      <c r="H10" t="str">
        <v>사급</v>
      </c>
      <c r="I10" t="str">
        <v>태창금속</v>
      </c>
      <c r="J10" t="str">
        <v>N3</v>
      </c>
      <c r="K10">
        <v>503777</v>
      </c>
      <c r="L10" t="str">
        <v>MBR NO1, LWR_비방청</v>
      </c>
      <c r="M10">
        <v>1</v>
      </c>
      <c r="N10">
        <f>S10</f>
        <v>3105</v>
      </c>
      <c r="O10">
        <f>$F$9*M10</f>
        <v>2814.2000000000003</v>
      </c>
      <c r="P10">
        <f>(N10*O10)*M10</f>
        <v>8738091</v>
      </c>
      <c r="R10">
        <v>1101</v>
      </c>
      <c r="S10">
        <f>ROUND((R10*Z10),0)</f>
        <v>3105</v>
      </c>
      <c r="T10" t="str">
        <v>SPFH590FB-P</v>
      </c>
      <c r="U10">
        <v>2</v>
      </c>
      <c r="V10">
        <v>1110</v>
      </c>
      <c r="W10">
        <v>162</v>
      </c>
      <c r="X10">
        <v>1</v>
      </c>
      <c r="Y10">
        <v>7.85</v>
      </c>
      <c r="Z10">
        <f>ROUND((Y10*W10*V10*U10/1000000/X10),2)</f>
        <v>2.82</v>
      </c>
      <c r="AA10" t="str">
        <v>스크랩금액</v>
      </c>
      <c r="AB10">
        <f>F9</f>
        <v>2814.2000000000003</v>
      </c>
      <c r="AC10">
        <v>0.6459999999999999</v>
      </c>
      <c r="AD10">
        <f>$AD$1</f>
        <v>362</v>
      </c>
      <c r="AE10">
        <f>(AB10*AC10)*AD10</f>
        <v>658106.2984</v>
      </c>
    </row>
    <row r="11">
      <c r="A11" t="str">
        <v>풍기서산</v>
      </c>
      <c r="B11" t="str">
        <v>TAM</v>
      </c>
      <c r="C11" t="str">
        <v>502666-1000</v>
      </c>
      <c r="D11" t="str">
        <v>MBR RR NO1 UPR _ 방청</v>
      </c>
      <c r="E11">
        <v>3640</v>
      </c>
      <c r="F11">
        <v>25327.8</v>
      </c>
      <c r="G11">
        <f>E11*F11</f>
        <v>92193192</v>
      </c>
      <c r="I11" t="str">
        <v>다인</v>
      </c>
      <c r="J11" t="str">
        <v>N3</v>
      </c>
      <c r="K11">
        <v>503666</v>
      </c>
      <c r="L11" t="str">
        <v>MBR NO1, LWR_방청</v>
      </c>
      <c r="N11">
        <f>SUM(N12:N12)</f>
        <v>3240</v>
      </c>
    </row>
    <row r="12">
      <c r="H12" t="str">
        <v>사급</v>
      </c>
      <c r="I12" t="str">
        <v>태창금속</v>
      </c>
      <c r="J12" t="str">
        <v>N3</v>
      </c>
      <c r="K12">
        <v>503666</v>
      </c>
      <c r="L12" t="str">
        <v>MBR NO1, LWR_방청</v>
      </c>
      <c r="M12">
        <v>1</v>
      </c>
      <c r="N12">
        <f>S12</f>
        <v>3240</v>
      </c>
      <c r="O12">
        <f>$F$11*M12</f>
        <v>25327.8</v>
      </c>
      <c r="P12">
        <f>(N12*O12)*M12</f>
        <v>82062072</v>
      </c>
      <c r="R12">
        <v>1232</v>
      </c>
      <c r="S12">
        <f>ROUND((R12*Z12),0)</f>
        <v>3240</v>
      </c>
      <c r="T12" t="str">
        <v>SGAFH590FB</v>
      </c>
      <c r="U12">
        <v>2</v>
      </c>
      <c r="V12">
        <v>1103</v>
      </c>
      <c r="W12">
        <v>152</v>
      </c>
      <c r="X12">
        <v>1</v>
      </c>
      <c r="Y12">
        <v>7.85</v>
      </c>
      <c r="Z12">
        <f>ROUND((Y12*W12*V12*U12/1000000/X12),2)</f>
        <v>2.63</v>
      </c>
      <c r="AA12" t="str">
        <v>스크랩금액</v>
      </c>
      <c r="AB12">
        <f>F11</f>
        <v>25327.8</v>
      </c>
      <c r="AC12">
        <v>0.6159999999999997</v>
      </c>
      <c r="AD12">
        <f>$AD$1</f>
        <v>362</v>
      </c>
      <c r="AE12">
        <f>(AB12*AC12)*AD12</f>
        <v>5647896.777599997</v>
      </c>
    </row>
    <row r="13">
      <c r="A13" t="str">
        <v>풍기서산</v>
      </c>
      <c r="B13" t="str">
        <v>TAM</v>
      </c>
      <c r="C13" t="str">
        <v>502777-1000</v>
      </c>
      <c r="D13" t="str">
        <v>MBR RR NO1 UPR _ 비방청</v>
      </c>
      <c r="E13">
        <v>3263</v>
      </c>
      <c r="F13">
        <v>2814.2000000000003</v>
      </c>
      <c r="G13">
        <f>E13*F13</f>
        <v>9182734.600000001</v>
      </c>
      <c r="I13" t="str">
        <v>다인</v>
      </c>
      <c r="J13" t="str">
        <v>N3</v>
      </c>
      <c r="K13">
        <v>503777</v>
      </c>
      <c r="L13" t="str">
        <v>MBR NO1, LWR_비방청</v>
      </c>
      <c r="N13">
        <f>S14</f>
        <v>2896</v>
      </c>
    </row>
    <row r="14">
      <c r="H14" t="str">
        <v>사급</v>
      </c>
      <c r="I14" t="str">
        <v>태창금속</v>
      </c>
      <c r="J14" t="str">
        <v>N3</v>
      </c>
      <c r="K14">
        <v>503777</v>
      </c>
      <c r="L14" t="str">
        <v>MBR NO1, LWR_비방청</v>
      </c>
      <c r="M14">
        <v>1</v>
      </c>
      <c r="N14">
        <f>S14</f>
        <v>2896</v>
      </c>
      <c r="O14">
        <f>$F$13*M14</f>
        <v>2814.2000000000003</v>
      </c>
      <c r="P14">
        <f>(N14*O14)*M14</f>
        <v>8149923.200000001</v>
      </c>
      <c r="R14">
        <v>1101</v>
      </c>
      <c r="S14">
        <f>ROUND((R14*Z14),0)</f>
        <v>2896</v>
      </c>
      <c r="T14" t="str">
        <v>SPFH590FB-P</v>
      </c>
      <c r="U14">
        <v>2</v>
      </c>
      <c r="V14">
        <v>1103</v>
      </c>
      <c r="W14">
        <v>152</v>
      </c>
      <c r="X14">
        <v>1</v>
      </c>
      <c r="Y14">
        <v>7.85</v>
      </c>
      <c r="Z14">
        <f>ROUND((Y14*W14*V14*U14/1000000/X14),2)</f>
        <v>2.63</v>
      </c>
      <c r="AA14" t="str">
        <v>스크랩금액</v>
      </c>
      <c r="AB14">
        <f>F13</f>
        <v>2814.2000000000003</v>
      </c>
      <c r="AC14">
        <v>0.6459999999999999</v>
      </c>
      <c r="AD14">
        <f>$AD$1</f>
        <v>362</v>
      </c>
      <c r="AE14">
        <f>(AB14*AC14)*AD14</f>
        <v>658106.2984</v>
      </c>
    </row>
    <row r="15">
      <c r="A15" t="str">
        <v>풍기서산</v>
      </c>
      <c r="B15" t="str">
        <v>TAM</v>
      </c>
      <c r="C15" t="str">
        <v>504666-1000</v>
      </c>
      <c r="D15" t="str">
        <v>MBR RR SIDE UPR LH _ 방청</v>
      </c>
      <c r="E15">
        <v>1983</v>
      </c>
      <c r="F15">
        <v>25327.8</v>
      </c>
      <c r="G15">
        <f>E15*F15</f>
        <v>50225027.4</v>
      </c>
      <c r="I15" t="str">
        <v>다인</v>
      </c>
      <c r="J15" t="str">
        <v>N3</v>
      </c>
      <c r="K15">
        <v>503777</v>
      </c>
      <c r="L15" t="str">
        <v>MBR NO1, LWR_비방청</v>
      </c>
      <c r="N15">
        <f>S16</f>
        <v>1814</v>
      </c>
    </row>
    <row r="16">
      <c r="H16" t="str">
        <v>사급</v>
      </c>
      <c r="I16" t="str">
        <v>태창금속</v>
      </c>
      <c r="J16" t="str">
        <v>N3</v>
      </c>
      <c r="K16">
        <v>503777</v>
      </c>
      <c r="L16" t="str">
        <v>MBR NO1, LWR_비방청</v>
      </c>
      <c r="M16">
        <v>1</v>
      </c>
      <c r="N16">
        <f>S16</f>
        <v>1814</v>
      </c>
      <c r="O16">
        <f>$F$15*M16</f>
        <v>25327.8</v>
      </c>
      <c r="P16">
        <f>(N16*O16)*M16</f>
        <v>45944629.199999996</v>
      </c>
      <c r="R16">
        <v>1268.2</v>
      </c>
      <c r="S16">
        <f>ROUND((R16*Z16),0)</f>
        <v>1814</v>
      </c>
      <c r="T16" t="str">
        <v>SGAFC590DP</v>
      </c>
      <c r="U16">
        <v>1.8</v>
      </c>
      <c r="V16">
        <v>1040</v>
      </c>
      <c r="W16">
        <v>195</v>
      </c>
      <c r="X16">
        <v>2</v>
      </c>
      <c r="Y16">
        <v>7.85</v>
      </c>
      <c r="Z16">
        <f>ROUND((Y16*W16*V16*U16/1000000/X16),2)</f>
        <v>1.43</v>
      </c>
      <c r="AA16" t="str">
        <v>스크랩금액</v>
      </c>
      <c r="AB16">
        <f>F15</f>
        <v>25327.8</v>
      </c>
      <c r="AC16">
        <v>0.6459999999999999</v>
      </c>
      <c r="AD16">
        <f>$AD$1</f>
        <v>362</v>
      </c>
      <c r="AE16">
        <f>(AB16*AC16)*AD16</f>
        <v>5922956.6855999995</v>
      </c>
    </row>
    <row r="17">
      <c r="A17" t="str">
        <v>풍기서산</v>
      </c>
      <c r="B17" t="str">
        <v>TAM</v>
      </c>
      <c r="C17" t="str">
        <v>504667-1000</v>
      </c>
      <c r="D17" t="str">
        <v>MBR RR SIDE UPR RH _ 방청</v>
      </c>
      <c r="E17">
        <v>1983</v>
      </c>
      <c r="F17">
        <v>25327.8</v>
      </c>
      <c r="G17">
        <f>E17*F17</f>
        <v>50225027.4</v>
      </c>
      <c r="I17" t="str">
        <v>다인</v>
      </c>
      <c r="J17" t="str">
        <v>N3</v>
      </c>
      <c r="K17">
        <v>503777</v>
      </c>
      <c r="L17" t="str">
        <v>MBR NO1, LWR_비방청</v>
      </c>
      <c r="N17">
        <f>S18</f>
        <v>1814</v>
      </c>
    </row>
    <row r="18">
      <c r="H18" t="str">
        <v>사급</v>
      </c>
      <c r="I18" t="str">
        <v>태창금속</v>
      </c>
      <c r="J18" t="str">
        <v>N3</v>
      </c>
      <c r="K18">
        <v>503777</v>
      </c>
      <c r="L18" t="str">
        <v>MBR NO1, LWR_비방청</v>
      </c>
      <c r="M18">
        <v>1</v>
      </c>
      <c r="N18">
        <f>S18</f>
        <v>1814</v>
      </c>
      <c r="O18">
        <f>$F$17*M18</f>
        <v>25327.8</v>
      </c>
      <c r="P18">
        <f>(N18*O18)*M18</f>
        <v>45944629.199999996</v>
      </c>
      <c r="R18">
        <v>1268.2</v>
      </c>
      <c r="S18">
        <f>ROUND((R18*Z18),0)</f>
        <v>1814</v>
      </c>
      <c r="T18" t="str">
        <v>SGAFC590DP</v>
      </c>
      <c r="U18">
        <v>1.8</v>
      </c>
      <c r="V18">
        <v>1040</v>
      </c>
      <c r="W18">
        <v>195</v>
      </c>
      <c r="X18">
        <v>2</v>
      </c>
      <c r="Y18">
        <v>7.85</v>
      </c>
      <c r="Z18">
        <f>ROUND((Y18*W18*V18*U18/1000000/X18),2)</f>
        <v>1.43</v>
      </c>
      <c r="AA18" t="str">
        <v>스크랩금액</v>
      </c>
      <c r="AB18">
        <f>F17</f>
        <v>25327.8</v>
      </c>
      <c r="AC18">
        <v>0.6459999999999999</v>
      </c>
      <c r="AD18">
        <f>$AD$1</f>
        <v>362</v>
      </c>
      <c r="AE18">
        <f>(AB18*AC18)*AD18</f>
        <v>5922956.6855999995</v>
      </c>
    </row>
    <row r="19">
      <c r="A19" t="str">
        <v>풍기서산</v>
      </c>
      <c r="B19" t="str">
        <v>TAM</v>
      </c>
      <c r="C19" t="str">
        <v>504777-1000</v>
      </c>
      <c r="D19" t="str">
        <v>MBR RR SIDE UPR LH _ 비방청</v>
      </c>
      <c r="E19">
        <v>1859</v>
      </c>
      <c r="F19">
        <v>2814.2000000000003</v>
      </c>
      <c r="G19">
        <f>E19*F19</f>
        <v>5231597.800000001</v>
      </c>
      <c r="I19" t="str">
        <v>다인</v>
      </c>
      <c r="J19" t="str">
        <v>N3</v>
      </c>
      <c r="K19">
        <v>503777</v>
      </c>
      <c r="L19" t="str">
        <v>MBR NO1, LWR_비방청</v>
      </c>
      <c r="N19">
        <f>S20</f>
        <v>1814</v>
      </c>
    </row>
    <row r="20">
      <c r="H20" t="str">
        <v>사급</v>
      </c>
      <c r="I20" t="str">
        <v>태창금속</v>
      </c>
      <c r="J20" t="str">
        <v>N3</v>
      </c>
      <c r="K20">
        <v>503777</v>
      </c>
      <c r="L20" t="str">
        <v>MBR NO1, LWR_비방청</v>
      </c>
      <c r="M20">
        <v>1</v>
      </c>
      <c r="N20">
        <f>S20</f>
        <v>1814</v>
      </c>
      <c r="O20">
        <f>$F$19*M20</f>
        <v>2814.2000000000003</v>
      </c>
      <c r="P20">
        <f>(N20*O20)*M20</f>
        <v>5104958.800000001</v>
      </c>
      <c r="R20">
        <v>1268.2</v>
      </c>
      <c r="S20">
        <f>ROUND((R20*Z20),0)</f>
        <v>1814</v>
      </c>
      <c r="T20" t="str">
        <v>SPFC590DP</v>
      </c>
      <c r="U20">
        <v>1.8</v>
      </c>
      <c r="V20">
        <v>1040</v>
      </c>
      <c r="W20">
        <v>195</v>
      </c>
      <c r="X20">
        <v>2</v>
      </c>
      <c r="Y20">
        <v>7.85</v>
      </c>
      <c r="Z20">
        <f>ROUND((Y20*W20*V20*U20/1000000/X20),2)</f>
        <v>1.43</v>
      </c>
      <c r="AA20" t="str">
        <v>스크랩금액</v>
      </c>
      <c r="AB20">
        <f>F19</f>
        <v>2814.2000000000003</v>
      </c>
      <c r="AC20">
        <v>0.6459999999999999</v>
      </c>
      <c r="AD20">
        <f>$AD$1</f>
        <v>362</v>
      </c>
      <c r="AE20">
        <f>(AB20*AC20)*AD20</f>
        <v>658106.2984</v>
      </c>
    </row>
    <row r="21">
      <c r="A21" t="str">
        <v>풍기서산</v>
      </c>
      <c r="B21" t="str">
        <v>TAM</v>
      </c>
      <c r="C21" t="str">
        <v>504778-1000</v>
      </c>
      <c r="D21" t="str">
        <v>MBR RR SIDE UPR RH _ 비방청</v>
      </c>
      <c r="E21">
        <v>1859</v>
      </c>
      <c r="F21">
        <v>2814.2000000000003</v>
      </c>
      <c r="G21">
        <f>E21*F21</f>
        <v>5231597.800000001</v>
      </c>
      <c r="I21" t="str">
        <v>다인</v>
      </c>
      <c r="J21" t="str">
        <v>N3</v>
      </c>
      <c r="K21">
        <v>503777</v>
      </c>
      <c r="L21" t="str">
        <v>MBR NO1, LWR_비방청</v>
      </c>
      <c r="N21">
        <f>S22</f>
        <v>1814</v>
      </c>
    </row>
    <row r="22">
      <c r="H22" t="str">
        <v>사급</v>
      </c>
      <c r="I22" t="str">
        <v>태창금속</v>
      </c>
      <c r="J22" t="str">
        <v>N3</v>
      </c>
      <c r="K22">
        <v>503777</v>
      </c>
      <c r="L22" t="str">
        <v>MBR NO1, LWR_비방청</v>
      </c>
      <c r="M22">
        <v>1</v>
      </c>
      <c r="N22">
        <f>S22</f>
        <v>1814</v>
      </c>
      <c r="O22">
        <f>$F$21*M22</f>
        <v>2814.2000000000003</v>
      </c>
      <c r="P22">
        <f>(N22*O22)*M22</f>
        <v>5104958.800000001</v>
      </c>
      <c r="R22">
        <v>1268.2</v>
      </c>
      <c r="S22">
        <f>ROUND((R22*Z22),0)</f>
        <v>1814</v>
      </c>
      <c r="T22" t="str">
        <v>SPFC590DP</v>
      </c>
      <c r="U22">
        <v>1.8</v>
      </c>
      <c r="V22">
        <v>1040</v>
      </c>
      <c r="W22">
        <v>195</v>
      </c>
      <c r="X22">
        <v>2</v>
      </c>
      <c r="Y22">
        <v>7.85</v>
      </c>
      <c r="Z22">
        <f>ROUND((Y22*W22*V22*U22/1000000/X22),2)</f>
        <v>1.43</v>
      </c>
      <c r="AA22" t="str">
        <v>스크랩금액</v>
      </c>
      <c r="AB22">
        <f>F21</f>
        <v>2814.2000000000003</v>
      </c>
      <c r="AC22">
        <v>0.6459999999999999</v>
      </c>
      <c r="AD22">
        <f>$AD$1</f>
        <v>362</v>
      </c>
      <c r="AE22">
        <f>(AB22*AC22)*AD22</f>
        <v>658106.2984</v>
      </c>
    </row>
    <row r="24">
      <c r="R24" t="e" cm="1">
        <f t="array" ref="R24">+V24NR24:S24</f>
        <v>#NAME?</v>
      </c>
    </row>
    <row r="29">
      <c r="G29">
        <f>SUM(G7:G22)</f>
        <v>321803770</v>
      </c>
      <c r="P29">
        <f>SUM(P7:P22)</f>
        <v>289038039.4</v>
      </c>
    </row>
    <row r="30">
      <c r="AE30">
        <f>SUM(AE8:AE23)</f>
        <v>25774132.11999999</v>
      </c>
    </row>
  </sheetData>
  <autoFilter ref="I6:Z612"/>
  <pageMargins left="0.7" right="0.7" top="0.75" bottom="0.75" header="0.3" footer="0.3"/>
  <ignoredErrors>
    <ignoredError numberStoredAsText="1" sqref="A1:AH838"/>
  </ignoredErrors>
</worksheet>
</file>

<file path=xl/worksheets/sheet4.xml><?xml version="1.0" encoding="utf-8"?>
<worksheet xmlns="http://schemas.openxmlformats.org/spreadsheetml/2006/main" xmlns:r="http://schemas.openxmlformats.org/officeDocument/2006/relationships">
  <dimension ref="A1:AJ868"/>
  <sheetViews>
    <sheetView workbookViewId="0" rightToLeft="0"/>
  </sheetViews>
  <sheetData>
    <row r="1">
      <c r="AI1">
        <v>362</v>
      </c>
    </row>
    <row r="5">
      <c r="E5">
        <v>16</v>
      </c>
      <c r="F5">
        <v>15</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P6" t="str">
        <v>구매수량</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c r="AJ6" t="str">
        <v>스크랩금액</v>
      </c>
    </row>
    <row r="7">
      <c r="A7" t="str">
        <v>호원오토</v>
      </c>
      <c r="B7" t="str">
        <v>MV</v>
      </c>
      <c r="C7" t="str">
        <v>69100-DO000</v>
      </c>
      <c r="D7" t="str">
        <v>PNL ASSY-BACK COMPL</v>
      </c>
      <c r="E7">
        <v>25802</v>
      </c>
      <c r="F7">
        <v>1280</v>
      </c>
      <c r="G7">
        <v>33026560</v>
      </c>
      <c r="J7" t="str">
        <v>호원오토</v>
      </c>
      <c r="K7" t="str">
        <v>MV</v>
      </c>
      <c r="L7" t="str">
        <v>69100-DO000</v>
      </c>
      <c r="M7" t="str">
        <v>PNL ASSY-BACK COMPL</v>
      </c>
      <c r="O7">
        <v>21204.05</v>
      </c>
      <c r="Q7">
        <v>28011584</v>
      </c>
    </row>
    <row r="8">
      <c r="E8">
        <v>0</v>
      </c>
      <c r="F8">
        <v>0</v>
      </c>
      <c r="G8">
        <v>0</v>
      </c>
      <c r="H8" t="str">
        <v>태창금속</v>
      </c>
      <c r="J8" t="str">
        <v>태창금속</v>
      </c>
      <c r="K8" t="str">
        <v>MV</v>
      </c>
      <c r="L8" t="str">
        <v>69112-DO000</v>
      </c>
      <c r="M8" t="str">
        <v>PNL-BACK</v>
      </c>
      <c r="N8">
        <v>1</v>
      </c>
      <c r="O8">
        <v>9386</v>
      </c>
      <c r="P8">
        <v>1280</v>
      </c>
      <c r="Q8">
        <v>12014080</v>
      </c>
      <c r="S8">
        <v>1263.2</v>
      </c>
      <c r="T8">
        <v>9386</v>
      </c>
      <c r="U8" t="str">
        <v>SGAFC590</v>
      </c>
      <c r="V8">
        <v>0.75</v>
      </c>
      <c r="W8">
        <v>675</v>
      </c>
      <c r="X8">
        <v>1870</v>
      </c>
      <c r="Y8">
        <v>1</v>
      </c>
      <c r="Z8">
        <v>7.85</v>
      </c>
      <c r="AA8">
        <v>7.43</v>
      </c>
      <c r="AE8">
        <v>12014080</v>
      </c>
      <c r="AF8" t="str">
        <v>스크랩금액</v>
      </c>
      <c r="AG8">
        <v>1280</v>
      </c>
      <c r="AH8">
        <v>4.7375</v>
      </c>
      <c r="AI8">
        <v>362</v>
      </c>
      <c r="AJ8">
        <v>2195168</v>
      </c>
    </row>
    <row r="9">
      <c r="E9">
        <v>0</v>
      </c>
      <c r="F9">
        <v>0</v>
      </c>
      <c r="G9">
        <v>0</v>
      </c>
      <c r="H9" t="str">
        <v>태창금속</v>
      </c>
      <c r="J9" t="str">
        <v>태창금속</v>
      </c>
      <c r="K9" t="str">
        <v>MV</v>
      </c>
      <c r="L9" t="str">
        <v>69122-DO000</v>
      </c>
      <c r="M9" t="str">
        <v>MEMBER-RR TRANSVERSE</v>
      </c>
      <c r="N9">
        <v>1</v>
      </c>
      <c r="O9">
        <v>2978</v>
      </c>
      <c r="P9">
        <v>1280</v>
      </c>
      <c r="Q9">
        <v>3811840</v>
      </c>
      <c r="S9">
        <v>1251.2</v>
      </c>
      <c r="T9">
        <v>2978</v>
      </c>
      <c r="U9" t="str">
        <v>SGAFC590</v>
      </c>
      <c r="V9">
        <v>0.7</v>
      </c>
      <c r="W9">
        <v>1030</v>
      </c>
      <c r="X9">
        <v>420</v>
      </c>
      <c r="Y9">
        <v>1</v>
      </c>
      <c r="Z9">
        <v>7.85</v>
      </c>
      <c r="AA9">
        <v>2.38</v>
      </c>
      <c r="AE9">
        <v>3811840</v>
      </c>
      <c r="AF9" t="str">
        <v>스크랩금액</v>
      </c>
      <c r="AG9">
        <v>1280</v>
      </c>
      <c r="AH9">
        <v>1.2372</v>
      </c>
      <c r="AI9">
        <v>362</v>
      </c>
      <c r="AJ9">
        <v>573268.992</v>
      </c>
    </row>
    <row r="10">
      <c r="E10">
        <v>0</v>
      </c>
      <c r="F10">
        <v>0</v>
      </c>
      <c r="G10">
        <v>0</v>
      </c>
      <c r="H10" t="str">
        <v>사급</v>
      </c>
      <c r="J10" t="str">
        <v>삼진스틸</v>
      </c>
      <c r="L10" t="str">
        <v>12900-06161</v>
      </c>
      <c r="M10" t="str">
        <v>BOLT-WELD</v>
      </c>
      <c r="N10">
        <v>2</v>
      </c>
      <c r="O10">
        <v>0</v>
      </c>
      <c r="P10">
        <v>1280</v>
      </c>
      <c r="Q10">
        <v>0</v>
      </c>
      <c r="T10">
        <v>0</v>
      </c>
      <c r="AE10">
        <v>0</v>
      </c>
    </row>
    <row r="11">
      <c r="E11">
        <v>0</v>
      </c>
      <c r="F11">
        <v>0</v>
      </c>
      <c r="G11">
        <v>0</v>
      </c>
      <c r="J11" t="str">
        <v>코리아신예(무상사급)</v>
      </c>
      <c r="K11" t="str">
        <v>MV</v>
      </c>
      <c r="L11" t="str">
        <v>69138-DO000</v>
      </c>
      <c r="M11" t="str">
        <v>EXTN-RR TRANSVERSE, LH</v>
      </c>
      <c r="N11">
        <v>1</v>
      </c>
      <c r="O11">
        <v>0</v>
      </c>
      <c r="P11">
        <v>1280</v>
      </c>
      <c r="Q11">
        <v>0</v>
      </c>
      <c r="T11">
        <v>0</v>
      </c>
      <c r="AE11">
        <v>0</v>
      </c>
    </row>
    <row r="12">
      <c r="E12">
        <v>0</v>
      </c>
      <c r="F12">
        <v>0</v>
      </c>
      <c r="G12">
        <v>0</v>
      </c>
      <c r="J12" t="str">
        <v>코리아신예(무상사급)</v>
      </c>
      <c r="K12" t="str">
        <v>MV</v>
      </c>
      <c r="L12" t="str">
        <v>69148-DO000</v>
      </c>
      <c r="M12" t="str">
        <v>EXTN-RR TRANSVERSE, RH</v>
      </c>
      <c r="N12">
        <v>1</v>
      </c>
      <c r="O12">
        <v>0</v>
      </c>
      <c r="P12">
        <v>1280</v>
      </c>
      <c r="Q12">
        <v>0</v>
      </c>
      <c r="T12">
        <v>0</v>
      </c>
      <c r="AE12">
        <v>0</v>
      </c>
    </row>
    <row r="13">
      <c r="E13">
        <v>0</v>
      </c>
      <c r="F13">
        <v>0</v>
      </c>
      <c r="G13">
        <v>0</v>
      </c>
      <c r="H13" t="str">
        <v>협력업체</v>
      </c>
      <c r="I13" t="str">
        <v>협력업체 철판</v>
      </c>
      <c r="J13" t="str">
        <v>태영금속</v>
      </c>
      <c r="K13" t="str">
        <v>MV</v>
      </c>
      <c r="L13" t="str">
        <v>69174-DO000</v>
      </c>
      <c r="M13" t="str">
        <v>REINF-RR TRANSVERSE SIDE, LH</v>
      </c>
      <c r="N13">
        <v>1</v>
      </c>
      <c r="O13">
        <v>1203</v>
      </c>
      <c r="P13">
        <v>1280</v>
      </c>
      <c r="Q13">
        <v>1539840</v>
      </c>
      <c r="S13">
        <v>1133.2</v>
      </c>
      <c r="T13">
        <v>1054</v>
      </c>
      <c r="U13" t="str">
        <v>SPFC590</v>
      </c>
      <c r="V13">
        <v>0.75</v>
      </c>
      <c r="W13">
        <v>480</v>
      </c>
      <c r="X13">
        <v>330</v>
      </c>
      <c r="Y13">
        <v>1</v>
      </c>
      <c r="Z13">
        <v>7.85</v>
      </c>
      <c r="AA13">
        <v>0.93</v>
      </c>
      <c r="AC13">
        <v>1349120</v>
      </c>
      <c r="AE13">
        <v>190720</v>
      </c>
    </row>
    <row r="14">
      <c r="E14">
        <v>0</v>
      </c>
      <c r="F14">
        <v>0</v>
      </c>
      <c r="G14">
        <v>0</v>
      </c>
      <c r="H14" t="str">
        <v>협력업체</v>
      </c>
      <c r="I14" t="str">
        <v>협력업체 철판</v>
      </c>
      <c r="J14" t="str">
        <v>태영금속</v>
      </c>
      <c r="K14" t="str">
        <v>MV</v>
      </c>
      <c r="L14" t="str">
        <v>69184-DO000</v>
      </c>
      <c r="M14" t="str">
        <v>REINF-RR TRANSVERSE SIDE, RH</v>
      </c>
      <c r="N14">
        <v>1</v>
      </c>
      <c r="O14">
        <v>1203</v>
      </c>
      <c r="P14">
        <v>1280</v>
      </c>
      <c r="Q14">
        <v>1539840</v>
      </c>
      <c r="S14">
        <v>1133.2</v>
      </c>
      <c r="T14">
        <v>1054</v>
      </c>
      <c r="U14" t="str">
        <v>SPFC590</v>
      </c>
      <c r="V14">
        <v>0.75</v>
      </c>
      <c r="W14">
        <v>480</v>
      </c>
      <c r="X14">
        <v>330</v>
      </c>
      <c r="Y14">
        <v>1</v>
      </c>
      <c r="Z14">
        <v>7.85</v>
      </c>
      <c r="AA14">
        <v>0.93</v>
      </c>
      <c r="AC14">
        <v>1349120</v>
      </c>
      <c r="AE14">
        <v>190720</v>
      </c>
    </row>
    <row r="15">
      <c r="E15">
        <v>0</v>
      </c>
      <c r="F15">
        <v>0</v>
      </c>
      <c r="H15" t="str">
        <v>협력업체</v>
      </c>
      <c r="I15" t="str">
        <v>협력업체 철판</v>
      </c>
      <c r="J15" t="str">
        <v>태영금속</v>
      </c>
      <c r="K15" t="str">
        <v>MV</v>
      </c>
      <c r="L15" t="str">
        <v>69118-DO000</v>
      </c>
      <c r="M15" t="str">
        <v>BRKT-LUGGAGE RR TRIM MTG,LH</v>
      </c>
      <c r="N15">
        <v>2</v>
      </c>
      <c r="O15">
        <v>158</v>
      </c>
      <c r="P15">
        <v>1280</v>
      </c>
      <c r="Q15">
        <v>404480</v>
      </c>
      <c r="S15">
        <v>1029.2</v>
      </c>
      <c r="T15">
        <v>21</v>
      </c>
      <c r="U15" t="str">
        <v>SPCC</v>
      </c>
      <c r="V15">
        <v>0.6</v>
      </c>
      <c r="W15">
        <v>86</v>
      </c>
      <c r="X15">
        <v>38</v>
      </c>
      <c r="Y15">
        <v>1</v>
      </c>
      <c r="Z15">
        <v>7.85</v>
      </c>
      <c r="AA15">
        <v>0.02</v>
      </c>
      <c r="AC15">
        <v>26880</v>
      </c>
      <c r="AE15">
        <v>377600</v>
      </c>
    </row>
    <row r="16">
      <c r="E16">
        <v>0</v>
      </c>
      <c r="F16">
        <v>0</v>
      </c>
      <c r="G16">
        <v>0</v>
      </c>
      <c r="H16" t="str">
        <v>협력업체</v>
      </c>
      <c r="I16" t="str">
        <v>협력업체 철판</v>
      </c>
      <c r="J16" t="str">
        <v>에이오에스</v>
      </c>
      <c r="K16" t="str">
        <v>MV</v>
      </c>
      <c r="L16" t="str">
        <v>69116-DO000</v>
      </c>
      <c r="M16" t="str">
        <v>REINF- TAILGATE STRIKER</v>
      </c>
      <c r="N16">
        <v>1</v>
      </c>
      <c r="O16">
        <v>529</v>
      </c>
      <c r="P16">
        <v>1280</v>
      </c>
      <c r="Q16">
        <v>677120</v>
      </c>
      <c r="S16">
        <v>1256.2</v>
      </c>
      <c r="T16">
        <v>377</v>
      </c>
      <c r="U16" t="str">
        <v>SGAFC590</v>
      </c>
      <c r="V16">
        <v>1.2</v>
      </c>
      <c r="W16">
        <v>226</v>
      </c>
      <c r="X16">
        <v>140</v>
      </c>
      <c r="Y16">
        <v>1</v>
      </c>
      <c r="Z16">
        <v>7.85</v>
      </c>
      <c r="AA16">
        <v>0.3</v>
      </c>
      <c r="AC16">
        <v>482560</v>
      </c>
      <c r="AE16">
        <v>194560</v>
      </c>
    </row>
    <row r="17">
      <c r="E17">
        <v>0</v>
      </c>
      <c r="F17">
        <v>0</v>
      </c>
      <c r="G17">
        <v>0</v>
      </c>
      <c r="H17" t="str">
        <v>사급</v>
      </c>
      <c r="J17" t="str">
        <v>신호</v>
      </c>
      <c r="K17" t="str">
        <v>MV</v>
      </c>
      <c r="L17" t="str">
        <v>69162-G8000</v>
      </c>
      <c r="M17" t="str">
        <v>PLATE-TAILGATE LOCK STRIKER</v>
      </c>
      <c r="N17">
        <v>1</v>
      </c>
      <c r="O17">
        <v>275</v>
      </c>
      <c r="P17">
        <v>1280</v>
      </c>
      <c r="Q17">
        <v>352000</v>
      </c>
      <c r="T17">
        <v>0</v>
      </c>
      <c r="AC17">
        <v>0</v>
      </c>
      <c r="AE17">
        <v>352000</v>
      </c>
    </row>
    <row r="18">
      <c r="E18">
        <v>0</v>
      </c>
      <c r="F18">
        <v>0</v>
      </c>
      <c r="G18">
        <v>0</v>
      </c>
      <c r="H18" t="str">
        <v>사급</v>
      </c>
      <c r="J18" t="str">
        <v>신성사출</v>
      </c>
      <c r="K18" t="str">
        <v>MV</v>
      </c>
      <c r="L18" t="str">
        <v>69156-DO000 (PAD)</v>
      </c>
      <c r="M18" t="str">
        <v>BULKHEAD-RR TRANSVERSE, LH</v>
      </c>
      <c r="N18">
        <v>1</v>
      </c>
      <c r="O18">
        <v>1403</v>
      </c>
      <c r="P18">
        <v>1280</v>
      </c>
      <c r="Q18">
        <v>1795840</v>
      </c>
      <c r="AC18">
        <v>0</v>
      </c>
      <c r="AE18">
        <v>1795840</v>
      </c>
    </row>
    <row r="19">
      <c r="E19">
        <v>0</v>
      </c>
      <c r="F19">
        <v>0</v>
      </c>
      <c r="G19">
        <v>0</v>
      </c>
      <c r="H19" t="str">
        <v>사급</v>
      </c>
      <c r="J19" t="str">
        <v>신성사출</v>
      </c>
      <c r="K19" t="str">
        <v>MV</v>
      </c>
      <c r="L19" t="str">
        <v>69166-DO000 (PAD)</v>
      </c>
      <c r="M19" t="str">
        <v>BULKHEAD-RR TRANSVERSE, LH</v>
      </c>
      <c r="N19">
        <v>1</v>
      </c>
      <c r="O19">
        <v>1403</v>
      </c>
      <c r="P19">
        <v>1280</v>
      </c>
      <c r="Q19">
        <v>1795840</v>
      </c>
      <c r="AC19">
        <v>0</v>
      </c>
      <c r="AE19">
        <v>1795840</v>
      </c>
    </row>
    <row r="20">
      <c r="E20">
        <v>0</v>
      </c>
      <c r="F20">
        <v>0</v>
      </c>
      <c r="G20">
        <v>0</v>
      </c>
      <c r="H20" t="str">
        <v>사급</v>
      </c>
      <c r="J20" t="str">
        <v>아신금속</v>
      </c>
      <c r="K20" t="str">
        <v>MV</v>
      </c>
      <c r="L20" t="str">
        <v>64372-3V000</v>
      </c>
      <c r="M20" t="str">
        <v>PIN-RR BUMPER GUIDE(99242-06100)</v>
      </c>
      <c r="N20">
        <v>1</v>
      </c>
      <c r="O20">
        <v>13.05</v>
      </c>
      <c r="P20">
        <v>1280</v>
      </c>
      <c r="Q20">
        <v>16704</v>
      </c>
      <c r="T20">
        <v>0</v>
      </c>
      <c r="AC20">
        <v>0</v>
      </c>
      <c r="AE20">
        <v>16704</v>
      </c>
    </row>
    <row r="21">
      <c r="E21">
        <v>0</v>
      </c>
      <c r="F21">
        <v>0</v>
      </c>
      <c r="G21">
        <v>0</v>
      </c>
      <c r="H21" t="str">
        <v>협력업체</v>
      </c>
      <c r="I21" t="str">
        <v>협력업체 철판</v>
      </c>
      <c r="J21" t="str">
        <v>태영금속</v>
      </c>
      <c r="K21" t="str">
        <v>MV</v>
      </c>
      <c r="L21" t="str">
        <v>69158-DO000</v>
      </c>
      <c r="M21" t="str">
        <v>BRKT-RR BUMPER UPR MTG, LH</v>
      </c>
      <c r="N21">
        <v>1</v>
      </c>
      <c r="O21">
        <v>451</v>
      </c>
      <c r="P21">
        <v>1280</v>
      </c>
      <c r="Q21">
        <v>577280</v>
      </c>
      <c r="S21">
        <v>1174.2</v>
      </c>
      <c r="T21">
        <v>258</v>
      </c>
      <c r="U21" t="str">
        <v>SGACC</v>
      </c>
      <c r="V21">
        <v>0.9</v>
      </c>
      <c r="W21">
        <v>379</v>
      </c>
      <c r="X21">
        <v>83</v>
      </c>
      <c r="Y21">
        <v>1</v>
      </c>
      <c r="Z21">
        <v>7.85</v>
      </c>
      <c r="AA21">
        <v>0.22</v>
      </c>
      <c r="AC21">
        <v>330240</v>
      </c>
      <c r="AE21">
        <v>247040</v>
      </c>
    </row>
    <row r="22">
      <c r="E22">
        <v>0</v>
      </c>
      <c r="F22">
        <v>0</v>
      </c>
      <c r="G22">
        <v>0</v>
      </c>
      <c r="H22" t="str">
        <v>협력업체</v>
      </c>
      <c r="I22" t="str">
        <v>협력업체 철판</v>
      </c>
      <c r="J22" t="str">
        <v>태영금속</v>
      </c>
      <c r="K22" t="str">
        <v>MV</v>
      </c>
      <c r="L22" t="str">
        <v>69168-DO000</v>
      </c>
      <c r="M22" t="str">
        <v>BRKT-RR BUMPER UPR MTG, LH</v>
      </c>
      <c r="N22">
        <v>1</v>
      </c>
      <c r="O22">
        <v>450</v>
      </c>
      <c r="P22">
        <v>1280</v>
      </c>
      <c r="Q22">
        <v>576000</v>
      </c>
      <c r="S22">
        <v>1174.2</v>
      </c>
      <c r="T22">
        <v>258</v>
      </c>
      <c r="U22" t="str">
        <v>SGACC</v>
      </c>
      <c r="V22">
        <v>0.9</v>
      </c>
      <c r="W22">
        <v>379</v>
      </c>
      <c r="X22">
        <v>83</v>
      </c>
      <c r="Y22">
        <v>1</v>
      </c>
      <c r="Z22">
        <v>7.85</v>
      </c>
      <c r="AA22">
        <v>0.22</v>
      </c>
      <c r="AC22">
        <v>330240</v>
      </c>
      <c r="AE22">
        <v>245760</v>
      </c>
    </row>
    <row r="23">
      <c r="E23">
        <v>0</v>
      </c>
      <c r="F23">
        <v>0</v>
      </c>
      <c r="G23">
        <v>0</v>
      </c>
      <c r="H23" t="str">
        <v>사급</v>
      </c>
      <c r="J23" t="str">
        <v>신성산업</v>
      </c>
      <c r="K23" t="str">
        <v>MV</v>
      </c>
      <c r="L23" t="str">
        <v>65996-C5000</v>
      </c>
      <c r="M23" t="str">
        <v>PAD</v>
      </c>
      <c r="N23">
        <v>2</v>
      </c>
      <c r="O23">
        <v>522</v>
      </c>
      <c r="P23">
        <v>1280</v>
      </c>
      <c r="Q23">
        <v>1336320</v>
      </c>
      <c r="T23">
        <v>0</v>
      </c>
      <c r="AC23">
        <v>0</v>
      </c>
      <c r="AE23">
        <v>1336320</v>
      </c>
    </row>
    <row r="24">
      <c r="E24">
        <v>0</v>
      </c>
      <c r="F24">
        <v>0</v>
      </c>
      <c r="H24" t="str">
        <v>협력업체</v>
      </c>
      <c r="I24" t="str">
        <v>협력업체 철판</v>
      </c>
      <c r="J24" t="str">
        <v>제이에스테크</v>
      </c>
      <c r="K24" t="str">
        <v>MV</v>
      </c>
      <c r="L24" t="str">
        <v>69172-DO000</v>
      </c>
      <c r="M24" t="str">
        <v>BULKHEAD-RR TRANSVERSE SIDE,LH</v>
      </c>
      <c r="N24">
        <v>1</v>
      </c>
      <c r="O24">
        <v>266</v>
      </c>
      <c r="P24">
        <v>1280</v>
      </c>
      <c r="Q24">
        <v>340480</v>
      </c>
      <c r="S24">
        <v>1133.2</v>
      </c>
      <c r="T24">
        <v>136</v>
      </c>
      <c r="U24" t="str">
        <v>SPFC590</v>
      </c>
      <c r="V24">
        <v>0.9</v>
      </c>
      <c r="W24">
        <v>147</v>
      </c>
      <c r="X24">
        <v>236</v>
      </c>
      <c r="Y24">
        <v>2</v>
      </c>
      <c r="Z24">
        <v>7.85</v>
      </c>
      <c r="AA24">
        <v>0.12</v>
      </c>
      <c r="AC24">
        <v>174080</v>
      </c>
      <c r="AE24">
        <v>166400</v>
      </c>
    </row>
    <row r="25">
      <c r="E25">
        <v>0</v>
      </c>
      <c r="F25">
        <v>0</v>
      </c>
      <c r="H25" t="str">
        <v>협력업체</v>
      </c>
      <c r="I25" t="str">
        <v>협력업체 철판</v>
      </c>
      <c r="J25" t="str">
        <v>제이에스테크</v>
      </c>
      <c r="K25" t="str">
        <v>MV</v>
      </c>
      <c r="L25" t="str">
        <v>69182-DO000</v>
      </c>
      <c r="M25" t="str">
        <v>BULKHEAD-RR TRANSVERSE SIDE,RH</v>
      </c>
      <c r="N25">
        <v>1</v>
      </c>
      <c r="O25">
        <v>266</v>
      </c>
      <c r="P25">
        <v>1280</v>
      </c>
      <c r="Q25">
        <v>340480</v>
      </c>
      <c r="S25">
        <v>1133.2</v>
      </c>
      <c r="T25">
        <v>136</v>
      </c>
      <c r="U25" t="str">
        <v>SPFC590</v>
      </c>
      <c r="V25">
        <v>0.9</v>
      </c>
      <c r="W25">
        <v>147</v>
      </c>
      <c r="X25">
        <v>236</v>
      </c>
      <c r="Y25">
        <v>2</v>
      </c>
      <c r="Z25">
        <v>7.85</v>
      </c>
      <c r="AA25">
        <v>0.12</v>
      </c>
      <c r="AC25">
        <v>174080</v>
      </c>
      <c r="AE25">
        <v>166400</v>
      </c>
    </row>
    <row r="26">
      <c r="E26">
        <v>0</v>
      </c>
      <c r="F26">
        <v>0</v>
      </c>
      <c r="G26">
        <v>0</v>
      </c>
      <c r="H26" t="str">
        <v>협력업체</v>
      </c>
      <c r="I26" t="str">
        <v>협력업체 철판</v>
      </c>
      <c r="J26" t="str">
        <v>제이에스테크</v>
      </c>
      <c r="K26" t="str">
        <v>MV</v>
      </c>
      <c r="L26" t="str">
        <v>69156-DO000</v>
      </c>
      <c r="M26" t="str">
        <v>BULKHEAD-RR TRANSVERSE, LH</v>
      </c>
      <c r="N26">
        <v>1</v>
      </c>
      <c r="O26">
        <v>349</v>
      </c>
      <c r="P26">
        <v>1280</v>
      </c>
      <c r="Q26">
        <v>446720</v>
      </c>
      <c r="S26">
        <v>1109.2</v>
      </c>
      <c r="T26">
        <v>144</v>
      </c>
      <c r="U26" t="str">
        <v>SGACC</v>
      </c>
      <c r="V26">
        <v>1.2</v>
      </c>
      <c r="W26">
        <v>130</v>
      </c>
      <c r="X26">
        <v>106</v>
      </c>
      <c r="Y26">
        <v>1</v>
      </c>
      <c r="Z26">
        <v>7.85</v>
      </c>
      <c r="AA26">
        <v>0.13</v>
      </c>
      <c r="AC26">
        <v>184320</v>
      </c>
      <c r="AE26">
        <v>262400</v>
      </c>
    </row>
    <row r="27">
      <c r="E27">
        <v>0</v>
      </c>
      <c r="F27">
        <v>0</v>
      </c>
      <c r="G27">
        <v>0</v>
      </c>
      <c r="H27" t="str">
        <v>협력업체</v>
      </c>
      <c r="I27" t="str">
        <v>협력업체 철판</v>
      </c>
      <c r="J27" t="str">
        <v>제이에스테크</v>
      </c>
      <c r="K27" t="str">
        <v>MV</v>
      </c>
      <c r="L27" t="str">
        <v>69166-DO000</v>
      </c>
      <c r="M27" t="str">
        <v>BULKHEAD-RR TRANSVERSE, LH</v>
      </c>
      <c r="N27">
        <v>1</v>
      </c>
      <c r="O27">
        <v>349</v>
      </c>
      <c r="P27">
        <v>1280</v>
      </c>
      <c r="Q27">
        <v>446720</v>
      </c>
      <c r="S27">
        <v>1109.2</v>
      </c>
      <c r="T27">
        <v>144</v>
      </c>
      <c r="U27" t="str">
        <v>SGACC</v>
      </c>
      <c r="V27">
        <v>1.2</v>
      </c>
      <c r="W27">
        <v>130</v>
      </c>
      <c r="X27">
        <v>106</v>
      </c>
      <c r="Y27">
        <v>1</v>
      </c>
      <c r="Z27">
        <v>7.85</v>
      </c>
      <c r="AA27">
        <v>0.13</v>
      </c>
      <c r="AC27">
        <v>184320</v>
      </c>
      <c r="AE27">
        <v>262400</v>
      </c>
    </row>
    <row r="28">
      <c r="A28" t="str">
        <v>호원오토</v>
      </c>
      <c r="B28" t="str">
        <v>DL3</v>
      </c>
      <c r="C28" t="str">
        <v>65131-L1000</v>
      </c>
      <c r="D28" t="str">
        <v>REINF ASSY-CTR FLOOR (구형)</v>
      </c>
      <c r="E28">
        <v>6890</v>
      </c>
      <c r="F28">
        <v>0</v>
      </c>
      <c r="G28">
        <v>0</v>
      </c>
      <c r="J28" t="str">
        <v>호원오토</v>
      </c>
      <c r="K28" t="str">
        <v>DL3</v>
      </c>
      <c r="L28" t="str">
        <v>65131-L1000</v>
      </c>
      <c r="M28" t="str">
        <v>REINF ASSY-CTR FLOOR</v>
      </c>
      <c r="O28">
        <v>4709.55</v>
      </c>
      <c r="Q28">
        <v>0</v>
      </c>
      <c r="T28">
        <v>0</v>
      </c>
      <c r="AC28">
        <v>0</v>
      </c>
      <c r="AE28">
        <v>0</v>
      </c>
    </row>
    <row r="29">
      <c r="E29">
        <v>0</v>
      </c>
      <c r="F29">
        <v>0</v>
      </c>
      <c r="G29">
        <v>0</v>
      </c>
      <c r="H29" t="str">
        <v>사급</v>
      </c>
      <c r="J29" t="str">
        <v>세원테크</v>
      </c>
      <c r="K29" t="str">
        <v>DL3</v>
      </c>
      <c r="L29" t="str">
        <v>65132-L1000</v>
      </c>
      <c r="M29" t="str">
        <v>REINF-CTR FLOOR</v>
      </c>
      <c r="N29">
        <v>1</v>
      </c>
      <c r="O29">
        <v>4644</v>
      </c>
      <c r="P29">
        <v>0</v>
      </c>
      <c r="Q29">
        <v>0</v>
      </c>
      <c r="T29">
        <v>0</v>
      </c>
      <c r="AC29">
        <v>0</v>
      </c>
      <c r="AE29">
        <v>0</v>
      </c>
    </row>
    <row r="30">
      <c r="E30">
        <v>0</v>
      </c>
      <c r="F30">
        <v>0</v>
      </c>
      <c r="G30">
        <v>0</v>
      </c>
      <c r="H30" t="str">
        <v>하드웨어</v>
      </c>
      <c r="J30" t="str">
        <v>대신금속</v>
      </c>
      <c r="K30" t="str">
        <v>DL3</v>
      </c>
      <c r="L30" t="str">
        <v>12900-06140</v>
      </c>
      <c r="M30" t="str">
        <v>BOLT-WELD</v>
      </c>
      <c r="N30">
        <v>6</v>
      </c>
      <c r="O30">
        <v>16.12</v>
      </c>
      <c r="P30">
        <v>0</v>
      </c>
      <c r="Q30">
        <v>0</v>
      </c>
      <c r="T30">
        <v>0</v>
      </c>
      <c r="AC30">
        <v>0</v>
      </c>
      <c r="AE30">
        <v>0</v>
      </c>
    </row>
    <row r="31">
      <c r="E31">
        <v>0</v>
      </c>
      <c r="F31">
        <v>0</v>
      </c>
      <c r="G31">
        <v>0</v>
      </c>
      <c r="H31" t="str">
        <v>하드웨어</v>
      </c>
      <c r="J31" t="str">
        <v>대신금속</v>
      </c>
      <c r="K31" t="str">
        <v>DL3</v>
      </c>
      <c r="L31" t="str">
        <v>12900-06180</v>
      </c>
      <c r="M31" t="str">
        <v>BOLT-WELD</v>
      </c>
      <c r="N31">
        <v>4</v>
      </c>
      <c r="O31">
        <v>17.89</v>
      </c>
      <c r="P31">
        <v>0</v>
      </c>
      <c r="Q31">
        <v>0</v>
      </c>
      <c r="T31">
        <v>0</v>
      </c>
      <c r="AC31">
        <v>0</v>
      </c>
      <c r="AE31">
        <v>0</v>
      </c>
    </row>
    <row r="32">
      <c r="E32">
        <v>0</v>
      </c>
      <c r="F32">
        <v>0</v>
      </c>
      <c r="G32">
        <v>0</v>
      </c>
      <c r="H32" t="str">
        <v>하드웨어</v>
      </c>
      <c r="J32" t="str">
        <v>삼진스틸</v>
      </c>
      <c r="K32" t="str">
        <v>DL3</v>
      </c>
      <c r="L32" t="str">
        <v>13905-06000</v>
      </c>
      <c r="M32" t="str">
        <v>NUT-WELD</v>
      </c>
      <c r="N32">
        <v>1</v>
      </c>
      <c r="O32">
        <v>11.400000000000002</v>
      </c>
      <c r="P32">
        <v>0</v>
      </c>
      <c r="Q32">
        <v>0</v>
      </c>
      <c r="T32">
        <v>0</v>
      </c>
      <c r="AC32">
        <v>0</v>
      </c>
      <c r="AE32">
        <v>0</v>
      </c>
    </row>
    <row r="33">
      <c r="E33">
        <v>0</v>
      </c>
      <c r="F33">
        <v>0</v>
      </c>
      <c r="G33">
        <v>0</v>
      </c>
      <c r="H33" t="str">
        <v>하드웨어</v>
      </c>
      <c r="J33" t="str">
        <v>삼진스틸</v>
      </c>
      <c r="K33" t="str">
        <v>DL3</v>
      </c>
      <c r="L33" t="str">
        <v>13905-08000</v>
      </c>
      <c r="M33" t="str">
        <v>NUT-WELD</v>
      </c>
      <c r="N33">
        <v>6</v>
      </c>
      <c r="O33">
        <v>20.14</v>
      </c>
      <c r="P33">
        <v>0</v>
      </c>
      <c r="Q33">
        <v>0</v>
      </c>
      <c r="T33">
        <v>0</v>
      </c>
      <c r="AC33">
        <v>0</v>
      </c>
      <c r="AE33">
        <v>0</v>
      </c>
    </row>
    <row r="34">
      <c r="A34" t="str">
        <v>호원오토</v>
      </c>
      <c r="B34" t="str">
        <v>DL3</v>
      </c>
      <c r="C34" t="str">
        <v>65131-L2500</v>
      </c>
      <c r="D34" t="str">
        <v>REINF ASSY-CTR FLOOR (PE)</v>
      </c>
      <c r="E34">
        <v>7673</v>
      </c>
      <c r="F34">
        <v>7265.999999999999</v>
      </c>
      <c r="G34">
        <v>55752017.99999999</v>
      </c>
      <c r="J34" t="str">
        <v>호원오토</v>
      </c>
      <c r="K34" t="str">
        <v>DL3PE</v>
      </c>
      <c r="L34" t="str">
        <v>65131-L2500</v>
      </c>
      <c r="M34" t="str">
        <v>REINF ASSY-CTR FLOOR (일반.HEV)</v>
      </c>
      <c r="O34">
        <v>5437.6900000000005</v>
      </c>
      <c r="Q34">
        <v>41363884.79999999</v>
      </c>
      <c r="T34">
        <v>0</v>
      </c>
      <c r="AC34">
        <v>0</v>
      </c>
      <c r="AE34">
        <v>41363884.79999999</v>
      </c>
    </row>
    <row r="35">
      <c r="E35">
        <v>0</v>
      </c>
      <c r="F35">
        <v>0</v>
      </c>
      <c r="G35">
        <v>0</v>
      </c>
      <c r="H35" t="str">
        <v>사급</v>
      </c>
      <c r="J35" t="str">
        <v>세원테크</v>
      </c>
      <c r="K35" t="str">
        <v>DL3</v>
      </c>
      <c r="L35" t="str">
        <v>65132-L2500</v>
      </c>
      <c r="M35" t="str">
        <v>REINF-CTR FLOOR</v>
      </c>
      <c r="N35">
        <v>1</v>
      </c>
      <c r="O35">
        <v>5034</v>
      </c>
      <c r="P35">
        <v>7265.999999999999</v>
      </c>
      <c r="Q35">
        <v>36577043.99999999</v>
      </c>
      <c r="T35">
        <v>0</v>
      </c>
      <c r="AC35">
        <v>0</v>
      </c>
      <c r="AE35">
        <v>36577043.99999999</v>
      </c>
    </row>
    <row r="36">
      <c r="E36">
        <v>0</v>
      </c>
      <c r="F36">
        <v>0</v>
      </c>
      <c r="G36">
        <v>0</v>
      </c>
      <c r="H36" t="str">
        <v>하드웨어</v>
      </c>
      <c r="J36" t="str">
        <v>대신금속</v>
      </c>
      <c r="K36" t="str">
        <v>DL3</v>
      </c>
      <c r="L36" t="str">
        <v>12900-06140</v>
      </c>
      <c r="M36" t="str">
        <v>BOLT-WELD</v>
      </c>
      <c r="N36">
        <v>6</v>
      </c>
      <c r="O36">
        <v>16.12</v>
      </c>
      <c r="P36">
        <v>7265.999999999999</v>
      </c>
      <c r="Q36">
        <v>702767.52</v>
      </c>
      <c r="T36">
        <v>0</v>
      </c>
      <c r="AC36">
        <v>0</v>
      </c>
      <c r="AE36">
        <v>702767.52</v>
      </c>
    </row>
    <row r="37">
      <c r="E37">
        <v>0</v>
      </c>
      <c r="F37">
        <v>0</v>
      </c>
      <c r="G37">
        <v>0</v>
      </c>
      <c r="H37" t="str">
        <v>하드웨어</v>
      </c>
      <c r="J37" t="str">
        <v>대신금속</v>
      </c>
      <c r="K37" t="str">
        <v>DL3</v>
      </c>
      <c r="L37" t="str">
        <v>12900-06180</v>
      </c>
      <c r="M37" t="str">
        <v>BOLT-WELD</v>
      </c>
      <c r="N37">
        <v>4</v>
      </c>
      <c r="O37">
        <v>17.89</v>
      </c>
      <c r="P37">
        <v>7265.999999999999</v>
      </c>
      <c r="Q37">
        <v>519954.95999999996</v>
      </c>
      <c r="T37">
        <v>0</v>
      </c>
      <c r="AC37">
        <v>0</v>
      </c>
      <c r="AE37">
        <v>519954.95999999996</v>
      </c>
    </row>
    <row r="38">
      <c r="E38">
        <v>0</v>
      </c>
      <c r="F38">
        <v>0</v>
      </c>
      <c r="G38">
        <v>0</v>
      </c>
      <c r="H38" t="str">
        <v>하드웨어</v>
      </c>
      <c r="J38" t="str">
        <v>삼진스틸</v>
      </c>
      <c r="K38" t="str">
        <v>DL3</v>
      </c>
      <c r="L38" t="str">
        <v>13905-06000</v>
      </c>
      <c r="M38" t="str">
        <v>NUT-WELD</v>
      </c>
      <c r="N38">
        <v>1</v>
      </c>
      <c r="O38">
        <v>11.400000000000002</v>
      </c>
      <c r="P38">
        <v>7265.999999999999</v>
      </c>
      <c r="Q38">
        <v>82832.40000000001</v>
      </c>
      <c r="T38">
        <v>0</v>
      </c>
      <c r="AC38">
        <v>0</v>
      </c>
      <c r="AE38">
        <v>82832.40000000001</v>
      </c>
    </row>
    <row r="39">
      <c r="E39">
        <v>0</v>
      </c>
      <c r="F39">
        <v>0</v>
      </c>
      <c r="G39">
        <v>0</v>
      </c>
      <c r="H39" t="str">
        <v>하드웨어</v>
      </c>
      <c r="J39" t="str">
        <v>삼진스틸</v>
      </c>
      <c r="K39" t="str">
        <v>DL3</v>
      </c>
      <c r="L39" t="str">
        <v>13905-08000</v>
      </c>
      <c r="M39" t="str">
        <v>NUT-WELD</v>
      </c>
      <c r="N39">
        <v>6</v>
      </c>
      <c r="O39">
        <v>20.14</v>
      </c>
      <c r="P39">
        <v>7265.999999999999</v>
      </c>
      <c r="Q39">
        <v>878023.44</v>
      </c>
      <c r="T39">
        <v>0</v>
      </c>
      <c r="AC39">
        <v>0</v>
      </c>
      <c r="AE39">
        <v>878023.44</v>
      </c>
    </row>
    <row r="40">
      <c r="E40">
        <v>0</v>
      </c>
      <c r="F40">
        <v>0</v>
      </c>
      <c r="G40">
        <v>0</v>
      </c>
      <c r="H40" t="str">
        <v>협력업체</v>
      </c>
      <c r="I40" t="str">
        <v>협력업체 철판</v>
      </c>
      <c r="J40" t="str">
        <v>제이에스테크</v>
      </c>
      <c r="K40" t="str">
        <v>DL3</v>
      </c>
      <c r="L40" t="str">
        <v>651M8-L8000</v>
      </c>
      <c r="M40" t="str">
        <v>BRKT-CTR SUPPORT MTG,LH</v>
      </c>
      <c r="N40">
        <v>1</v>
      </c>
      <c r="O40">
        <v>113</v>
      </c>
      <c r="P40">
        <v>7265.999999999999</v>
      </c>
      <c r="Q40">
        <v>821057.9999999999</v>
      </c>
      <c r="S40">
        <v>1013.2</v>
      </c>
      <c r="T40">
        <v>101</v>
      </c>
      <c r="U40" t="str">
        <v>SPCC</v>
      </c>
      <c r="V40">
        <v>1.2</v>
      </c>
      <c r="W40">
        <v>209</v>
      </c>
      <c r="X40">
        <v>105</v>
      </c>
      <c r="Y40">
        <v>2</v>
      </c>
      <c r="Z40">
        <v>7.85</v>
      </c>
      <c r="AA40">
        <v>0.1</v>
      </c>
      <c r="AC40">
        <v>733865.9999999999</v>
      </c>
      <c r="AE40">
        <v>87192</v>
      </c>
    </row>
    <row r="41">
      <c r="E41">
        <v>0</v>
      </c>
      <c r="F41">
        <v>0</v>
      </c>
      <c r="H41" t="str">
        <v>협력업체</v>
      </c>
      <c r="I41" t="str">
        <v>협력업체 철판</v>
      </c>
      <c r="J41" t="str">
        <v>웅지테크</v>
      </c>
      <c r="K41" t="str">
        <v>DL3</v>
      </c>
      <c r="L41" t="str">
        <v>65136-L8000</v>
      </c>
      <c r="M41" t="str">
        <v>BRKT-CTR SUPPORT MTG,LH</v>
      </c>
      <c r="N41">
        <v>1</v>
      </c>
      <c r="O41">
        <v>205</v>
      </c>
      <c r="P41">
        <v>7265.999999999999</v>
      </c>
      <c r="Q41">
        <v>1489529.9999999998</v>
      </c>
      <c r="S41">
        <v>1013.2</v>
      </c>
      <c r="T41">
        <v>51</v>
      </c>
      <c r="U41" t="str">
        <v>SPCC</v>
      </c>
      <c r="V41">
        <v>1</v>
      </c>
      <c r="W41">
        <v>93</v>
      </c>
      <c r="X41">
        <v>71</v>
      </c>
      <c r="Y41">
        <v>1</v>
      </c>
      <c r="Z41">
        <v>7.85</v>
      </c>
      <c r="AA41">
        <v>0.05</v>
      </c>
      <c r="AC41">
        <v>370565.99999999994</v>
      </c>
      <c r="AE41">
        <v>1118963.9999999998</v>
      </c>
    </row>
    <row r="42">
      <c r="E42">
        <v>0</v>
      </c>
      <c r="F42">
        <v>0</v>
      </c>
      <c r="G42">
        <v>0</v>
      </c>
      <c r="H42" t="str">
        <v>하드웨어</v>
      </c>
      <c r="J42" t="str">
        <v>삼진스틸</v>
      </c>
      <c r="K42" t="str">
        <v>DL3</v>
      </c>
      <c r="L42" t="str">
        <v>13905-08000</v>
      </c>
      <c r="M42" t="str">
        <v>NUT-WELD</v>
      </c>
      <c r="N42">
        <v>2</v>
      </c>
      <c r="O42">
        <v>20.14</v>
      </c>
      <c r="P42">
        <v>7265.999999999999</v>
      </c>
      <c r="Q42">
        <v>292674.48</v>
      </c>
      <c r="T42">
        <v>0</v>
      </c>
      <c r="AC42">
        <v>0</v>
      </c>
      <c r="AE42">
        <v>292674.48</v>
      </c>
    </row>
    <row r="43">
      <c r="A43" t="str">
        <v>호원오토</v>
      </c>
      <c r="B43" t="str">
        <v>DL3</v>
      </c>
      <c r="C43" t="str">
        <v>65131-L2800</v>
      </c>
      <c r="D43" t="str">
        <v>REINF ASSY-CTR FLOOR (AWD)</v>
      </c>
      <c r="E43">
        <v>8712</v>
      </c>
      <c r="F43">
        <v>3114</v>
      </c>
      <c r="G43">
        <v>27129168</v>
      </c>
      <c r="J43" t="str">
        <v>호원오토</v>
      </c>
      <c r="K43" t="str">
        <v>DL3PE</v>
      </c>
      <c r="L43" t="str">
        <v>65131-L2800</v>
      </c>
      <c r="M43" t="str">
        <v>REINF ASSY-CTR FLOOR (AWD)</v>
      </c>
      <c r="O43">
        <v>6072.6900000000005</v>
      </c>
      <c r="Q43">
        <v>19478941.92</v>
      </c>
      <c r="T43">
        <v>0</v>
      </c>
      <c r="AC43">
        <v>0</v>
      </c>
      <c r="AE43">
        <v>19478941.92</v>
      </c>
    </row>
    <row r="44">
      <c r="E44">
        <v>0</v>
      </c>
      <c r="F44">
        <v>0</v>
      </c>
      <c r="G44">
        <v>0</v>
      </c>
      <c r="H44" t="str">
        <v>사급</v>
      </c>
      <c r="J44" t="str">
        <v>세원테크</v>
      </c>
      <c r="K44" t="str">
        <v>DL3</v>
      </c>
      <c r="L44" t="str">
        <v>65132-L3400</v>
      </c>
      <c r="M44" t="str">
        <v>REINF-CTR FLOOR</v>
      </c>
      <c r="N44">
        <v>1</v>
      </c>
      <c r="O44">
        <v>5413</v>
      </c>
      <c r="P44">
        <v>3114</v>
      </c>
      <c r="Q44">
        <v>16856082</v>
      </c>
      <c r="T44">
        <v>0</v>
      </c>
      <c r="AC44">
        <v>0</v>
      </c>
      <c r="AE44">
        <v>16856082</v>
      </c>
    </row>
    <row r="45">
      <c r="E45">
        <v>0</v>
      </c>
      <c r="F45">
        <v>0</v>
      </c>
      <c r="G45">
        <v>0</v>
      </c>
      <c r="H45" t="str">
        <v>하드웨어</v>
      </c>
      <c r="J45" t="str">
        <v>대신금속</v>
      </c>
      <c r="K45" t="str">
        <v>DL3</v>
      </c>
      <c r="L45" t="str">
        <v>12900-06140</v>
      </c>
      <c r="M45" t="str">
        <v>BOLT-WELD</v>
      </c>
      <c r="N45">
        <v>4</v>
      </c>
      <c r="O45">
        <v>16.12</v>
      </c>
      <c r="P45">
        <v>3114</v>
      </c>
      <c r="Q45">
        <v>200790.72</v>
      </c>
      <c r="T45">
        <v>0</v>
      </c>
      <c r="AC45">
        <v>0</v>
      </c>
      <c r="AE45">
        <v>200790.72</v>
      </c>
    </row>
    <row r="46">
      <c r="E46">
        <v>0</v>
      </c>
      <c r="F46">
        <v>0</v>
      </c>
      <c r="G46">
        <v>0</v>
      </c>
      <c r="H46" t="str">
        <v>하드웨어</v>
      </c>
      <c r="J46" t="str">
        <v>대신금속</v>
      </c>
      <c r="K46" t="str">
        <v>DL3</v>
      </c>
      <c r="L46" t="str">
        <v>12900-06180</v>
      </c>
      <c r="M46" t="str">
        <v>BOLT-WELD</v>
      </c>
      <c r="N46">
        <v>4</v>
      </c>
      <c r="O46">
        <v>17.89</v>
      </c>
      <c r="P46">
        <v>3114</v>
      </c>
      <c r="Q46">
        <v>222837.84</v>
      </c>
      <c r="T46">
        <v>0</v>
      </c>
      <c r="AC46">
        <v>0</v>
      </c>
      <c r="AE46">
        <v>222837.84</v>
      </c>
    </row>
    <row r="47">
      <c r="E47">
        <v>0</v>
      </c>
      <c r="F47">
        <v>0</v>
      </c>
      <c r="G47">
        <v>0</v>
      </c>
      <c r="H47" t="str">
        <v>하드웨어</v>
      </c>
      <c r="J47" t="str">
        <v>삼진스틸</v>
      </c>
      <c r="K47" t="str">
        <v>DL3</v>
      </c>
      <c r="L47" t="str">
        <v>13905-06000</v>
      </c>
      <c r="M47" t="str">
        <v>NUT-WELD</v>
      </c>
      <c r="N47">
        <v>1</v>
      </c>
      <c r="O47">
        <v>11.400000000000002</v>
      </c>
      <c r="P47">
        <v>3114</v>
      </c>
      <c r="Q47">
        <v>35499.600000000006</v>
      </c>
      <c r="T47">
        <v>0</v>
      </c>
      <c r="AC47">
        <v>0</v>
      </c>
      <c r="AE47">
        <v>35499.600000000006</v>
      </c>
    </row>
    <row r="48">
      <c r="E48">
        <v>0</v>
      </c>
      <c r="F48">
        <v>0</v>
      </c>
      <c r="G48">
        <v>0</v>
      </c>
      <c r="H48" t="str">
        <v>하드웨어</v>
      </c>
      <c r="J48" t="str">
        <v>삼진스틸</v>
      </c>
      <c r="K48" t="str">
        <v>DL3</v>
      </c>
      <c r="L48" t="str">
        <v>13905-08000</v>
      </c>
      <c r="M48" t="str">
        <v>NUT-WELD</v>
      </c>
      <c r="N48">
        <v>4</v>
      </c>
      <c r="O48">
        <v>20.14</v>
      </c>
      <c r="P48">
        <v>3114</v>
      </c>
      <c r="Q48">
        <v>250863.84</v>
      </c>
      <c r="T48">
        <v>0</v>
      </c>
      <c r="AC48">
        <v>0</v>
      </c>
      <c r="AE48">
        <v>250863.84</v>
      </c>
    </row>
    <row r="49">
      <c r="E49">
        <v>0</v>
      </c>
      <c r="F49">
        <v>0</v>
      </c>
      <c r="G49">
        <v>0</v>
      </c>
      <c r="H49" t="str">
        <v>협력업체</v>
      </c>
      <c r="I49" t="str">
        <v>협력업체 철판</v>
      </c>
      <c r="J49" t="str">
        <v>제이에스테크</v>
      </c>
      <c r="K49" t="str">
        <v>DL3</v>
      </c>
      <c r="L49" t="str">
        <v>651M8-L2800</v>
      </c>
      <c r="M49" t="str">
        <v>BRKT-CTR SUPPORT MTG,LH</v>
      </c>
      <c r="N49">
        <v>1</v>
      </c>
      <c r="O49">
        <v>305</v>
      </c>
      <c r="P49">
        <v>3114</v>
      </c>
      <c r="Q49">
        <v>949770</v>
      </c>
      <c r="S49">
        <v>1013.2</v>
      </c>
      <c r="T49">
        <v>81</v>
      </c>
      <c r="U49" t="str">
        <v>SPCC</v>
      </c>
      <c r="V49">
        <v>1.2</v>
      </c>
      <c r="W49">
        <v>103</v>
      </c>
      <c r="X49">
        <v>87</v>
      </c>
      <c r="Y49">
        <v>1</v>
      </c>
      <c r="Z49">
        <v>7.85</v>
      </c>
      <c r="AA49">
        <v>0.08</v>
      </c>
      <c r="AC49">
        <v>252234</v>
      </c>
      <c r="AE49">
        <v>697536</v>
      </c>
    </row>
    <row r="50">
      <c r="E50">
        <v>0</v>
      </c>
      <c r="F50">
        <v>0</v>
      </c>
      <c r="H50" t="str">
        <v>협력업체</v>
      </c>
      <c r="I50" t="str">
        <v>협력업체 철판</v>
      </c>
      <c r="J50" t="str">
        <v>제이에스테크</v>
      </c>
      <c r="K50" t="str">
        <v>DL3</v>
      </c>
      <c r="L50" t="str">
        <v>65136-L2800</v>
      </c>
      <c r="M50" t="str">
        <v>BRKT-CTR SUPPORT MTG,LH</v>
      </c>
      <c r="N50">
        <v>1</v>
      </c>
      <c r="O50">
        <v>269</v>
      </c>
      <c r="P50">
        <v>3114</v>
      </c>
      <c r="Q50">
        <v>837666</v>
      </c>
      <c r="S50">
        <v>1013.2</v>
      </c>
      <c r="T50">
        <v>51</v>
      </c>
      <c r="U50" t="str">
        <v>SPCC</v>
      </c>
      <c r="V50">
        <v>1</v>
      </c>
      <c r="W50">
        <v>87</v>
      </c>
      <c r="X50">
        <v>70</v>
      </c>
      <c r="Y50">
        <v>1</v>
      </c>
      <c r="Z50">
        <v>7.85</v>
      </c>
      <c r="AA50">
        <v>0.05</v>
      </c>
      <c r="AC50">
        <v>158814</v>
      </c>
      <c r="AE50">
        <v>678852</v>
      </c>
    </row>
    <row r="51">
      <c r="E51">
        <v>0</v>
      </c>
      <c r="F51">
        <v>0</v>
      </c>
      <c r="H51" t="str">
        <v>하드웨어</v>
      </c>
      <c r="J51" t="str">
        <v>삼진스틸</v>
      </c>
      <c r="K51" t="str">
        <v>DL3</v>
      </c>
      <c r="L51" t="str">
        <v>13905-08000</v>
      </c>
      <c r="M51" t="str">
        <v>NUT-WELD</v>
      </c>
      <c r="N51">
        <v>2</v>
      </c>
      <c r="O51">
        <v>20.14</v>
      </c>
      <c r="P51">
        <v>3114</v>
      </c>
      <c r="Q51">
        <v>125431.92</v>
      </c>
      <c r="T51">
        <v>0</v>
      </c>
      <c r="AC51">
        <v>0</v>
      </c>
      <c r="AE51">
        <v>125431.92</v>
      </c>
    </row>
    <row r="52">
      <c r="A52" t="str">
        <v>호원오토</v>
      </c>
      <c r="B52" t="str">
        <v>DL3</v>
      </c>
      <c r="C52" t="str">
        <v>65151-L1000</v>
      </c>
      <c r="D52" t="str">
        <v>MEMBER ASSY-FR SEAT CROSS,LH</v>
      </c>
      <c r="E52">
        <v>4211</v>
      </c>
      <c r="F52">
        <v>10380</v>
      </c>
      <c r="G52">
        <v>43710180</v>
      </c>
      <c r="J52" t="str">
        <v>호원오토</v>
      </c>
      <c r="K52" t="str">
        <v>DL3</v>
      </c>
      <c r="L52" t="str">
        <v>65151-L1000</v>
      </c>
      <c r="M52" t="str">
        <v>MEMBER ASSY-FR SEAT CROSS,LH</v>
      </c>
      <c r="O52">
        <v>3687</v>
      </c>
      <c r="Q52">
        <v>38271060</v>
      </c>
      <c r="T52">
        <v>0</v>
      </c>
      <c r="AC52">
        <v>0</v>
      </c>
      <c r="AE52">
        <v>38271060</v>
      </c>
    </row>
    <row r="53">
      <c r="E53">
        <v>0</v>
      </c>
      <c r="F53">
        <v>0</v>
      </c>
      <c r="G53">
        <v>0</v>
      </c>
      <c r="H53" t="str">
        <v>사급</v>
      </c>
      <c r="J53" t="str">
        <v>세원테크</v>
      </c>
      <c r="K53" t="str">
        <v>DL3</v>
      </c>
      <c r="L53" t="str">
        <v>65152-L1000</v>
      </c>
      <c r="M53" t="str">
        <v>MEMBER ASSY-FR SEAT CROSS,LH</v>
      </c>
      <c r="N53">
        <v>1</v>
      </c>
      <c r="O53">
        <v>2425</v>
      </c>
      <c r="P53">
        <v>10380</v>
      </c>
      <c r="Q53">
        <v>25171500</v>
      </c>
      <c r="T53">
        <v>0</v>
      </c>
      <c r="AC53">
        <v>0</v>
      </c>
      <c r="AE53">
        <v>25171500</v>
      </c>
    </row>
    <row r="54">
      <c r="E54">
        <v>0</v>
      </c>
      <c r="F54">
        <v>0</v>
      </c>
      <c r="G54">
        <v>0</v>
      </c>
      <c r="H54" t="str">
        <v>하드웨어</v>
      </c>
      <c r="J54" t="str">
        <v>삼진스틸</v>
      </c>
      <c r="L54" t="str">
        <v>10216-10000</v>
      </c>
      <c r="M54" t="str">
        <v>NUT-WELD</v>
      </c>
      <c r="N54">
        <v>1</v>
      </c>
      <c r="O54">
        <v>79.5</v>
      </c>
      <c r="P54">
        <v>10380</v>
      </c>
      <c r="Q54">
        <v>825210</v>
      </c>
      <c r="T54">
        <v>0</v>
      </c>
      <c r="AC54">
        <v>0</v>
      </c>
      <c r="AE54">
        <v>825210</v>
      </c>
    </row>
    <row r="55">
      <c r="E55">
        <v>0</v>
      </c>
      <c r="F55">
        <v>0</v>
      </c>
      <c r="G55">
        <v>0</v>
      </c>
      <c r="H55" t="str">
        <v>사급</v>
      </c>
      <c r="J55" t="str">
        <v>세원테크</v>
      </c>
      <c r="K55" t="str">
        <v>DL3</v>
      </c>
      <c r="L55" t="str">
        <v>65158-L1000</v>
      </c>
      <c r="M55" t="str">
        <v>REINF-FR SEAT FR OTR MTG,LH</v>
      </c>
      <c r="N55">
        <v>1</v>
      </c>
      <c r="O55">
        <v>714</v>
      </c>
      <c r="P55">
        <v>10380</v>
      </c>
      <c r="Q55">
        <v>7411320</v>
      </c>
      <c r="T55">
        <v>0</v>
      </c>
      <c r="AC55">
        <v>0</v>
      </c>
      <c r="AE55">
        <v>7411320</v>
      </c>
    </row>
    <row r="56">
      <c r="E56">
        <v>0</v>
      </c>
      <c r="F56">
        <v>0</v>
      </c>
      <c r="G56">
        <v>0</v>
      </c>
      <c r="H56" t="str">
        <v>사급</v>
      </c>
      <c r="J56" t="str">
        <v>세원테크</v>
      </c>
      <c r="K56" t="str">
        <v>DL3</v>
      </c>
      <c r="L56" t="str">
        <v>651E4-L1000</v>
      </c>
      <c r="M56" t="str">
        <v>REINF-FR SEAT CROSS MBR SD,LH</v>
      </c>
      <c r="N56">
        <v>1</v>
      </c>
      <c r="O56">
        <v>389</v>
      </c>
      <c r="P56">
        <v>10380</v>
      </c>
      <c r="Q56">
        <v>4037820</v>
      </c>
      <c r="T56">
        <v>0</v>
      </c>
      <c r="AC56">
        <v>0</v>
      </c>
      <c r="AE56">
        <v>4037820</v>
      </c>
    </row>
    <row r="57">
      <c r="E57">
        <v>0</v>
      </c>
      <c r="F57">
        <v>0</v>
      </c>
      <c r="G57">
        <v>0</v>
      </c>
      <c r="H57" t="str">
        <v>하드웨어</v>
      </c>
      <c r="J57" t="str">
        <v>삼진스틸</v>
      </c>
      <c r="L57" t="str">
        <v>10216-10000</v>
      </c>
      <c r="M57" t="str">
        <v>NUT-WELD</v>
      </c>
      <c r="N57">
        <v>1</v>
      </c>
      <c r="O57">
        <v>79.5</v>
      </c>
      <c r="P57">
        <v>10380</v>
      </c>
      <c r="Q57">
        <v>825210</v>
      </c>
      <c r="T57">
        <v>0</v>
      </c>
      <c r="AC57">
        <v>0</v>
      </c>
      <c r="AE57">
        <v>825210</v>
      </c>
    </row>
    <row r="58">
      <c r="A58" t="str">
        <v>호원오토</v>
      </c>
      <c r="B58" t="str">
        <v>DL3</v>
      </c>
      <c r="C58" t="str">
        <v>65161-L1000</v>
      </c>
      <c r="D58" t="str">
        <v>MEMBER ASSY-FR SEAT CROSS,RH</v>
      </c>
      <c r="E58">
        <v>4292</v>
      </c>
      <c r="F58">
        <v>10380</v>
      </c>
      <c r="G58">
        <v>44550960</v>
      </c>
      <c r="J58" t="str">
        <v>호원오토</v>
      </c>
      <c r="K58" t="str">
        <v>DL3</v>
      </c>
      <c r="L58" t="str">
        <v>65161-L1000</v>
      </c>
      <c r="M58" t="str">
        <v>MEMBER ASSY-FR SEAT CROSS,RH</v>
      </c>
      <c r="O58">
        <v>3697.4</v>
      </c>
      <c r="Q58">
        <v>38497344</v>
      </c>
      <c r="T58">
        <v>0</v>
      </c>
      <c r="AC58">
        <v>0</v>
      </c>
      <c r="AE58">
        <v>38497344</v>
      </c>
    </row>
    <row r="59">
      <c r="E59">
        <v>0</v>
      </c>
      <c r="F59">
        <v>0</v>
      </c>
      <c r="G59">
        <v>0</v>
      </c>
      <c r="H59" t="str">
        <v>사급</v>
      </c>
      <c r="J59" t="str">
        <v>세원테크</v>
      </c>
      <c r="K59" t="str">
        <v>DL3</v>
      </c>
      <c r="L59" t="str">
        <v>65162-L1000</v>
      </c>
      <c r="M59" t="str">
        <v>MEMBER ASSY-FR SEAT CROSS,RH</v>
      </c>
      <c r="N59">
        <v>1</v>
      </c>
      <c r="O59">
        <v>2424</v>
      </c>
      <c r="P59">
        <v>10380</v>
      </c>
      <c r="Q59">
        <v>25161120</v>
      </c>
      <c r="T59">
        <v>0</v>
      </c>
      <c r="AC59">
        <v>0</v>
      </c>
      <c r="AE59">
        <v>25161120</v>
      </c>
    </row>
    <row r="60">
      <c r="E60">
        <v>0</v>
      </c>
      <c r="F60">
        <v>0</v>
      </c>
      <c r="H60" t="str">
        <v>하드웨어</v>
      </c>
      <c r="J60" t="str">
        <v>삼진스틸</v>
      </c>
      <c r="K60" t="str">
        <v>GL3</v>
      </c>
      <c r="L60" t="str">
        <v>13905-06000</v>
      </c>
      <c r="M60" t="str">
        <v>NUT-WEL D</v>
      </c>
      <c r="N60">
        <v>2</v>
      </c>
      <c r="O60">
        <v>11.400000000000002</v>
      </c>
      <c r="P60">
        <v>10380</v>
      </c>
      <c r="Q60">
        <v>236664.00000000006</v>
      </c>
      <c r="AC60">
        <v>0</v>
      </c>
    </row>
    <row r="61">
      <c r="E61">
        <v>0</v>
      </c>
      <c r="F61">
        <v>0</v>
      </c>
      <c r="G61">
        <v>0</v>
      </c>
      <c r="H61" t="str">
        <v>하드웨어</v>
      </c>
      <c r="J61" t="str">
        <v>삼진스틸</v>
      </c>
      <c r="L61" t="str">
        <v>10216-10000</v>
      </c>
      <c r="M61" t="str">
        <v>NUT-WELD</v>
      </c>
      <c r="N61">
        <v>1</v>
      </c>
      <c r="O61">
        <v>79.5</v>
      </c>
      <c r="P61">
        <v>10380</v>
      </c>
      <c r="Q61">
        <v>825210</v>
      </c>
      <c r="T61">
        <v>0</v>
      </c>
      <c r="AC61">
        <v>0</v>
      </c>
      <c r="AE61">
        <v>825210</v>
      </c>
    </row>
    <row r="62">
      <c r="E62">
        <v>0</v>
      </c>
      <c r="F62">
        <v>0</v>
      </c>
      <c r="G62">
        <v>0</v>
      </c>
      <c r="H62" t="str">
        <v>사급</v>
      </c>
      <c r="J62" t="str">
        <v>세원테크</v>
      </c>
      <c r="K62" t="str">
        <v>DL3</v>
      </c>
      <c r="L62" t="str">
        <v>65158-L1000</v>
      </c>
      <c r="M62" t="str">
        <v>REINF-FR SEAT FR OTR MTG,LH</v>
      </c>
      <c r="N62">
        <v>1</v>
      </c>
      <c r="O62">
        <v>714</v>
      </c>
      <c r="P62">
        <v>10380</v>
      </c>
      <c r="Q62">
        <v>7411320</v>
      </c>
      <c r="T62">
        <v>0</v>
      </c>
      <c r="AC62">
        <v>0</v>
      </c>
      <c r="AE62">
        <v>7411320</v>
      </c>
    </row>
    <row r="63">
      <c r="E63">
        <v>0</v>
      </c>
      <c r="F63">
        <v>0</v>
      </c>
      <c r="G63">
        <v>0</v>
      </c>
      <c r="H63" t="str">
        <v>사급</v>
      </c>
      <c r="J63" t="str">
        <v>세원테크</v>
      </c>
      <c r="K63" t="str">
        <v>DL3</v>
      </c>
      <c r="L63" t="str">
        <v>651E4-L1000</v>
      </c>
      <c r="M63" t="str">
        <v>REINF-FR SEAT CROSS MBR SD,LH</v>
      </c>
      <c r="N63">
        <v>1</v>
      </c>
      <c r="O63">
        <v>389</v>
      </c>
      <c r="P63">
        <v>10380</v>
      </c>
      <c r="Q63">
        <v>4037820</v>
      </c>
      <c r="T63">
        <v>0</v>
      </c>
      <c r="AC63">
        <v>0</v>
      </c>
      <c r="AE63">
        <v>4037820</v>
      </c>
    </row>
    <row r="64">
      <c r="E64">
        <v>0</v>
      </c>
      <c r="F64">
        <v>0</v>
      </c>
      <c r="G64">
        <v>0</v>
      </c>
      <c r="H64" t="str">
        <v>하드웨어</v>
      </c>
      <c r="J64" t="str">
        <v>삼진스틸</v>
      </c>
      <c r="L64" t="str">
        <v>10216-10000</v>
      </c>
      <c r="M64" t="str">
        <v>NUT-WELD</v>
      </c>
      <c r="N64">
        <v>1</v>
      </c>
      <c r="O64">
        <v>79.5</v>
      </c>
      <c r="P64">
        <v>10380</v>
      </c>
      <c r="Q64">
        <v>825210</v>
      </c>
      <c r="T64">
        <v>0</v>
      </c>
      <c r="AC64">
        <v>0</v>
      </c>
      <c r="AE64">
        <v>825210</v>
      </c>
    </row>
    <row r="65">
      <c r="A65" t="str">
        <v>호원오토</v>
      </c>
      <c r="B65" t="str">
        <v>DL3</v>
      </c>
      <c r="C65" t="str">
        <v>65175-L1000</v>
      </c>
      <c r="D65" t="str">
        <v>MEMBER ASSY-FR SEAT CRO RR,LH</v>
      </c>
      <c r="E65">
        <v>5834</v>
      </c>
      <c r="F65">
        <v>10380</v>
      </c>
      <c r="G65">
        <v>60556920</v>
      </c>
      <c r="J65" t="str">
        <v>호원오토</v>
      </c>
      <c r="K65" t="str">
        <v>DL3</v>
      </c>
      <c r="L65" t="str">
        <v>65175-L1000</v>
      </c>
      <c r="M65" t="str">
        <v>MEMBER ASSY-FR SEAT CRO RR,LH</v>
      </c>
      <c r="O65">
        <v>5253</v>
      </c>
      <c r="Q65">
        <v>54526140</v>
      </c>
      <c r="T65">
        <v>0</v>
      </c>
      <c r="AC65">
        <v>0</v>
      </c>
      <c r="AE65">
        <v>54526140</v>
      </c>
    </row>
    <row r="66">
      <c r="E66">
        <v>0</v>
      </c>
      <c r="F66">
        <v>0</v>
      </c>
      <c r="G66">
        <v>0</v>
      </c>
      <c r="H66" t="str">
        <v>사급</v>
      </c>
      <c r="J66" t="str">
        <v>세원테크</v>
      </c>
      <c r="K66" t="str">
        <v>DL3</v>
      </c>
      <c r="L66" t="str">
        <v>65176-L1000</v>
      </c>
      <c r="M66" t="str">
        <v>MEMBER ASSY-FR SEAT CRO RR,LH</v>
      </c>
      <c r="N66">
        <v>1</v>
      </c>
      <c r="O66">
        <v>2323</v>
      </c>
      <c r="P66">
        <v>10380</v>
      </c>
      <c r="Q66">
        <v>24112740</v>
      </c>
      <c r="T66">
        <v>0</v>
      </c>
      <c r="AC66">
        <v>0</v>
      </c>
      <c r="AE66">
        <v>24112740</v>
      </c>
    </row>
    <row r="67">
      <c r="E67">
        <v>0</v>
      </c>
      <c r="F67">
        <v>0</v>
      </c>
      <c r="G67">
        <v>0</v>
      </c>
      <c r="H67" t="str">
        <v>사급</v>
      </c>
      <c r="J67" t="str">
        <v>세원테크</v>
      </c>
      <c r="K67" t="str">
        <v>DL3</v>
      </c>
      <c r="L67" t="str">
        <v>65154-L1000</v>
      </c>
      <c r="M67" t="str">
        <v>BRKT-FR SEAT RR INR MTG,LH</v>
      </c>
      <c r="N67">
        <v>1</v>
      </c>
      <c r="O67">
        <v>1210</v>
      </c>
      <c r="P67">
        <v>10380</v>
      </c>
      <c r="Q67">
        <v>12559800</v>
      </c>
      <c r="T67">
        <v>0</v>
      </c>
      <c r="AC67">
        <v>0</v>
      </c>
      <c r="AE67">
        <v>12559800</v>
      </c>
    </row>
    <row r="68">
      <c r="E68">
        <v>0</v>
      </c>
      <c r="F68">
        <v>0</v>
      </c>
      <c r="G68">
        <v>0</v>
      </c>
      <c r="H68" t="str">
        <v>하드웨어</v>
      </c>
      <c r="J68" t="str">
        <v>삼진스틸</v>
      </c>
      <c r="L68" t="str">
        <v>10216-10000</v>
      </c>
      <c r="M68" t="str">
        <v>NUT-WELD</v>
      </c>
      <c r="N68">
        <v>1</v>
      </c>
      <c r="O68">
        <v>79.5</v>
      </c>
      <c r="P68">
        <v>10380</v>
      </c>
      <c r="Q68">
        <v>825210</v>
      </c>
      <c r="T68">
        <v>0</v>
      </c>
      <c r="AC68">
        <v>0</v>
      </c>
      <c r="AE68">
        <v>825210</v>
      </c>
    </row>
    <row r="69">
      <c r="E69">
        <v>0</v>
      </c>
      <c r="F69">
        <v>0</v>
      </c>
      <c r="G69">
        <v>0</v>
      </c>
      <c r="H69" t="str">
        <v>사급</v>
      </c>
      <c r="J69" t="str">
        <v>세원테크</v>
      </c>
      <c r="K69" t="str">
        <v>DL3</v>
      </c>
      <c r="L69" t="str">
        <v>65156-L1000</v>
      </c>
      <c r="M69" t="str">
        <v>BRKT-FR SEAT RR OTR MTG,LH</v>
      </c>
      <c r="N69">
        <v>1</v>
      </c>
      <c r="O69">
        <v>1106</v>
      </c>
      <c r="P69">
        <v>10380</v>
      </c>
      <c r="Q69">
        <v>11480280</v>
      </c>
      <c r="T69">
        <v>0</v>
      </c>
      <c r="AC69">
        <v>0</v>
      </c>
      <c r="AE69">
        <v>11480280</v>
      </c>
    </row>
    <row r="70">
      <c r="E70">
        <v>0</v>
      </c>
      <c r="F70">
        <v>0</v>
      </c>
      <c r="G70">
        <v>0</v>
      </c>
      <c r="H70" t="str">
        <v>하드웨어</v>
      </c>
      <c r="J70" t="str">
        <v>삼진스틸</v>
      </c>
      <c r="L70" t="str">
        <v>10216-10000</v>
      </c>
      <c r="M70" t="str">
        <v>NUT-WELD</v>
      </c>
      <c r="N70">
        <v>1</v>
      </c>
      <c r="O70">
        <v>79.5</v>
      </c>
      <c r="P70">
        <v>10380</v>
      </c>
      <c r="Q70">
        <v>825210</v>
      </c>
      <c r="T70">
        <v>0</v>
      </c>
      <c r="AC70">
        <v>0</v>
      </c>
      <c r="AE70">
        <v>825210</v>
      </c>
    </row>
    <row r="71">
      <c r="E71">
        <v>0</v>
      </c>
      <c r="F71">
        <v>0</v>
      </c>
      <c r="G71">
        <v>0</v>
      </c>
      <c r="H71" t="str">
        <v>사급</v>
      </c>
      <c r="J71" t="str">
        <v>세원테크</v>
      </c>
      <c r="K71" t="str">
        <v>DL3</v>
      </c>
      <c r="L71" t="str">
        <v>651E6-L1000</v>
      </c>
      <c r="M71" t="str">
        <v>REINF-RR SEAT CROSS MBR SD,LH</v>
      </c>
      <c r="N71">
        <v>1</v>
      </c>
      <c r="O71">
        <v>455</v>
      </c>
      <c r="P71">
        <v>10380</v>
      </c>
      <c r="Q71">
        <v>4722900</v>
      </c>
      <c r="T71">
        <v>0</v>
      </c>
      <c r="AC71">
        <v>0</v>
      </c>
      <c r="AE71">
        <v>4722900</v>
      </c>
    </row>
    <row r="72">
      <c r="A72" t="str">
        <v>호원오토</v>
      </c>
      <c r="B72" t="str">
        <v>DL3</v>
      </c>
      <c r="C72" t="str">
        <v>65185-L1000</v>
      </c>
      <c r="D72" t="str">
        <v>MEMBER ASSY-FR SEAT CRO RR,RH</v>
      </c>
      <c r="E72">
        <v>5834</v>
      </c>
      <c r="F72">
        <v>10380</v>
      </c>
      <c r="G72">
        <v>60556920</v>
      </c>
      <c r="J72" t="str">
        <v>호원오토</v>
      </c>
      <c r="K72" t="str">
        <v>DL3</v>
      </c>
      <c r="L72" t="str">
        <v>65185-L1000</v>
      </c>
      <c r="M72" t="str">
        <v>MEMBER ASSY-FR SEAT CRO RR,RH</v>
      </c>
      <c r="O72">
        <v>5253</v>
      </c>
      <c r="Q72">
        <v>54526140</v>
      </c>
      <c r="T72">
        <v>0</v>
      </c>
      <c r="AC72">
        <v>0</v>
      </c>
      <c r="AE72">
        <v>54526140</v>
      </c>
    </row>
    <row r="73">
      <c r="E73">
        <v>0</v>
      </c>
      <c r="F73">
        <v>0</v>
      </c>
      <c r="G73">
        <v>0</v>
      </c>
      <c r="H73" t="str">
        <v>사급</v>
      </c>
      <c r="J73" t="str">
        <v>세원테크</v>
      </c>
      <c r="K73" t="str">
        <v>DL3</v>
      </c>
      <c r="L73" t="str">
        <v>65186-L1000</v>
      </c>
      <c r="M73" t="str">
        <v>MEMBER ASSY-FR SEAT CRO RR,RH</v>
      </c>
      <c r="N73">
        <v>1</v>
      </c>
      <c r="O73">
        <v>2323</v>
      </c>
      <c r="P73">
        <v>10380</v>
      </c>
      <c r="Q73">
        <v>24112740</v>
      </c>
      <c r="T73">
        <v>0</v>
      </c>
      <c r="AC73">
        <v>0</v>
      </c>
      <c r="AE73">
        <v>24112740</v>
      </c>
    </row>
    <row r="74">
      <c r="E74">
        <v>0</v>
      </c>
      <c r="F74">
        <v>0</v>
      </c>
      <c r="G74">
        <v>0</v>
      </c>
      <c r="H74" t="str">
        <v>사급</v>
      </c>
      <c r="J74" t="str">
        <v>세원테크</v>
      </c>
      <c r="K74" t="str">
        <v>DL3</v>
      </c>
      <c r="L74" t="str">
        <v>65164-L1000</v>
      </c>
      <c r="M74" t="str">
        <v>BRKT-FR SEAT RR INR MTG,RH</v>
      </c>
      <c r="N74">
        <v>1</v>
      </c>
      <c r="O74">
        <v>1210</v>
      </c>
      <c r="P74">
        <v>10380</v>
      </c>
      <c r="Q74">
        <v>12559800</v>
      </c>
      <c r="T74">
        <v>0</v>
      </c>
      <c r="AC74">
        <v>0</v>
      </c>
      <c r="AE74">
        <v>12559800</v>
      </c>
    </row>
    <row r="75">
      <c r="E75">
        <v>0</v>
      </c>
      <c r="F75">
        <v>0</v>
      </c>
      <c r="G75">
        <v>0</v>
      </c>
      <c r="H75" t="str">
        <v>하드웨어</v>
      </c>
      <c r="J75" t="str">
        <v>삼진스틸</v>
      </c>
      <c r="L75" t="str">
        <v>10216-10000</v>
      </c>
      <c r="M75" t="str">
        <v>NUT-WELD</v>
      </c>
      <c r="N75">
        <v>1</v>
      </c>
      <c r="O75">
        <v>79.5</v>
      </c>
      <c r="P75">
        <v>10380</v>
      </c>
      <c r="Q75">
        <v>825210</v>
      </c>
      <c r="T75">
        <v>0</v>
      </c>
      <c r="AC75">
        <v>0</v>
      </c>
      <c r="AE75">
        <v>825210</v>
      </c>
    </row>
    <row r="76">
      <c r="E76">
        <v>0</v>
      </c>
      <c r="F76">
        <v>0</v>
      </c>
      <c r="G76">
        <v>0</v>
      </c>
      <c r="H76" t="str">
        <v>사급</v>
      </c>
      <c r="J76" t="str">
        <v>세원테크</v>
      </c>
      <c r="K76" t="str">
        <v>DL3</v>
      </c>
      <c r="L76" t="str">
        <v>65166-L1000</v>
      </c>
      <c r="M76" t="str">
        <v>BRKT-FR SEAT RR OTR MTG,RH</v>
      </c>
      <c r="N76">
        <v>1</v>
      </c>
      <c r="O76">
        <v>1106</v>
      </c>
      <c r="P76">
        <v>10380</v>
      </c>
      <c r="Q76">
        <v>11480280</v>
      </c>
      <c r="T76">
        <v>0</v>
      </c>
      <c r="AC76">
        <v>0</v>
      </c>
      <c r="AE76">
        <v>11480280</v>
      </c>
    </row>
    <row r="77">
      <c r="E77">
        <v>0</v>
      </c>
      <c r="F77">
        <v>0</v>
      </c>
      <c r="G77">
        <v>0</v>
      </c>
      <c r="H77" t="str">
        <v>하드웨어</v>
      </c>
      <c r="J77" t="str">
        <v>삼진스틸</v>
      </c>
      <c r="L77" t="str">
        <v>10216-10000</v>
      </c>
      <c r="M77" t="str">
        <v>NUT-WELD</v>
      </c>
      <c r="N77">
        <v>1</v>
      </c>
      <c r="O77">
        <v>79.5</v>
      </c>
      <c r="P77">
        <v>10380</v>
      </c>
      <c r="Q77">
        <v>825210</v>
      </c>
      <c r="T77">
        <v>0</v>
      </c>
      <c r="AC77">
        <v>0</v>
      </c>
      <c r="AE77">
        <v>825210</v>
      </c>
    </row>
    <row r="78">
      <c r="E78">
        <v>0</v>
      </c>
      <c r="F78">
        <v>0</v>
      </c>
      <c r="G78">
        <v>0</v>
      </c>
      <c r="H78" t="str">
        <v>사급</v>
      </c>
      <c r="J78" t="str">
        <v>세원테크</v>
      </c>
      <c r="K78" t="str">
        <v>DL3</v>
      </c>
      <c r="L78" t="str">
        <v>651F6-L1000</v>
      </c>
      <c r="M78" t="str">
        <v>REINF-RR SEAT CROSS MBR SD,RH</v>
      </c>
      <c r="N78">
        <v>1</v>
      </c>
      <c r="O78">
        <v>455</v>
      </c>
      <c r="P78">
        <v>10380</v>
      </c>
      <c r="Q78">
        <v>4722900</v>
      </c>
      <c r="T78">
        <v>0</v>
      </c>
      <c r="AC78">
        <v>0</v>
      </c>
      <c r="AE78">
        <v>4722900</v>
      </c>
    </row>
    <row r="79">
      <c r="A79" t="str">
        <v>호원오토</v>
      </c>
      <c r="B79" t="str">
        <v>DL3</v>
      </c>
      <c r="C79" t="str">
        <v>65170-L2000</v>
      </c>
      <c r="D79" t="str">
        <v>PNL ASSY-SIDE SILL, LH</v>
      </c>
      <c r="E79">
        <v>12207</v>
      </c>
      <c r="F79">
        <v>10380</v>
      </c>
      <c r="G79">
        <v>126708660</v>
      </c>
      <c r="J79" t="str">
        <v>호원오토</v>
      </c>
      <c r="K79" t="str">
        <v>DL3</v>
      </c>
      <c r="L79" t="str">
        <v>65170-L2000</v>
      </c>
      <c r="M79" t="str">
        <v>PNL ASSY-SIDE SILL, LH</v>
      </c>
      <c r="O79">
        <v>10956.699999999999</v>
      </c>
      <c r="Q79">
        <v>114468771.60000001</v>
      </c>
      <c r="T79">
        <v>0</v>
      </c>
      <c r="AC79">
        <v>0</v>
      </c>
      <c r="AE79">
        <v>114468771.60000001</v>
      </c>
    </row>
    <row r="80">
      <c r="E80">
        <v>0</v>
      </c>
      <c r="F80">
        <v>0</v>
      </c>
      <c r="G80">
        <v>0</v>
      </c>
      <c r="H80" t="str">
        <v>사급</v>
      </c>
      <c r="J80" t="str">
        <v>현대제철</v>
      </c>
      <c r="K80" t="str">
        <v>DL3</v>
      </c>
      <c r="L80" t="str">
        <v>65172-L2000</v>
      </c>
      <c r="M80" t="str">
        <v>PNL ASSY-SIDE SILL, LH</v>
      </c>
      <c r="N80">
        <v>1</v>
      </c>
      <c r="O80">
        <v>8937</v>
      </c>
      <c r="P80">
        <v>10380</v>
      </c>
      <c r="Q80">
        <v>92766060</v>
      </c>
      <c r="T80">
        <v>0</v>
      </c>
      <c r="AC80">
        <v>0</v>
      </c>
      <c r="AE80">
        <v>92766060</v>
      </c>
    </row>
    <row r="81">
      <c r="E81">
        <v>0</v>
      </c>
      <c r="F81">
        <v>0</v>
      </c>
      <c r="G81">
        <v>0</v>
      </c>
      <c r="H81" t="str">
        <v>하드웨어</v>
      </c>
      <c r="J81" t="str">
        <v>삼진스틸</v>
      </c>
      <c r="L81" t="str">
        <v>19353-07250</v>
      </c>
      <c r="M81" t="str">
        <v>NUT-FLANGE,CAP,WELD</v>
      </c>
      <c r="N81">
        <v>1</v>
      </c>
      <c r="O81">
        <v>181.14</v>
      </c>
      <c r="P81">
        <v>10380</v>
      </c>
      <c r="Q81">
        <v>1880233.2</v>
      </c>
      <c r="T81">
        <v>0</v>
      </c>
      <c r="AC81">
        <v>0</v>
      </c>
      <c r="AE81">
        <v>1880233.2</v>
      </c>
    </row>
    <row r="82">
      <c r="E82">
        <v>0</v>
      </c>
      <c r="F82">
        <v>0</v>
      </c>
      <c r="G82">
        <v>0</v>
      </c>
      <c r="H82" t="str">
        <v>하드웨어</v>
      </c>
      <c r="J82" t="str">
        <v>대신금속</v>
      </c>
      <c r="L82" t="str">
        <v>12922-06201</v>
      </c>
      <c r="M82" t="str">
        <v>BOLT-WELD(6-POINTS),GUIDE</v>
      </c>
      <c r="N82">
        <v>3</v>
      </c>
      <c r="O82">
        <v>35.56</v>
      </c>
      <c r="P82">
        <v>10380</v>
      </c>
      <c r="Q82">
        <v>1107338.4000000001</v>
      </c>
      <c r="T82">
        <v>0</v>
      </c>
      <c r="AC82">
        <v>0</v>
      </c>
      <c r="AE82">
        <v>1107338.4000000001</v>
      </c>
    </row>
    <row r="83">
      <c r="E83">
        <v>0</v>
      </c>
      <c r="F83">
        <v>0</v>
      </c>
      <c r="G83">
        <v>0</v>
      </c>
      <c r="H83" t="str">
        <v>사급</v>
      </c>
      <c r="J83" t="str">
        <v>세원테크</v>
      </c>
      <c r="K83" t="str">
        <v>DL3</v>
      </c>
      <c r="L83" t="str">
        <v>65352-L1000</v>
      </c>
      <c r="M83" t="str">
        <v>PATCH-S/SILL INR UPR, LH</v>
      </c>
      <c r="N83">
        <v>1</v>
      </c>
      <c r="O83">
        <v>499</v>
      </c>
      <c r="P83">
        <v>10380</v>
      </c>
      <c r="Q83">
        <v>5179620</v>
      </c>
      <c r="T83">
        <v>0</v>
      </c>
      <c r="AC83">
        <v>0</v>
      </c>
      <c r="AE83">
        <v>5179620</v>
      </c>
    </row>
    <row r="84">
      <c r="E84">
        <v>0</v>
      </c>
      <c r="F84">
        <v>0</v>
      </c>
      <c r="G84">
        <v>0</v>
      </c>
      <c r="H84" t="str">
        <v>사급</v>
      </c>
      <c r="J84" t="str">
        <v>세원테크</v>
      </c>
      <c r="K84" t="str">
        <v>DL3</v>
      </c>
      <c r="L84" t="str">
        <v>65264-D4000</v>
      </c>
      <c r="M84" t="str">
        <v>BRKT-CTR DR SCUFF MTG, LH</v>
      </c>
      <c r="N84">
        <v>1</v>
      </c>
      <c r="O84">
        <v>86</v>
      </c>
      <c r="P84">
        <v>10380</v>
      </c>
      <c r="Q84">
        <v>892680</v>
      </c>
      <c r="T84">
        <v>0</v>
      </c>
      <c r="AC84">
        <v>0</v>
      </c>
      <c r="AE84">
        <v>892680</v>
      </c>
    </row>
    <row r="85">
      <c r="E85">
        <v>0</v>
      </c>
      <c r="F85">
        <v>0</v>
      </c>
      <c r="G85">
        <v>0</v>
      </c>
      <c r="H85" t="str">
        <v>사급</v>
      </c>
      <c r="J85" t="str">
        <v>세원테크</v>
      </c>
      <c r="K85" t="str">
        <v>DL3</v>
      </c>
      <c r="L85" t="str">
        <v>65174-L1000</v>
      </c>
      <c r="M85" t="str">
        <v>REINF-SIDE SILL INR, LH</v>
      </c>
      <c r="N85">
        <v>1</v>
      </c>
      <c r="O85">
        <v>797</v>
      </c>
      <c r="P85">
        <v>10380</v>
      </c>
      <c r="Q85">
        <v>8272860</v>
      </c>
      <c r="T85">
        <v>0</v>
      </c>
      <c r="AC85">
        <v>0</v>
      </c>
      <c r="AE85">
        <v>8272860</v>
      </c>
    </row>
    <row r="86">
      <c r="E86">
        <v>0</v>
      </c>
      <c r="F86">
        <v>0</v>
      </c>
      <c r="G86">
        <v>0</v>
      </c>
      <c r="H86" t="str">
        <v>사급</v>
      </c>
      <c r="J86" t="str">
        <v>세원테크</v>
      </c>
      <c r="K86" t="str">
        <v>DL3</v>
      </c>
      <c r="L86" t="str">
        <v>651E2-L5000</v>
      </c>
      <c r="M86" t="str">
        <v>PATCH-S/SILL INR REINF NO.1, LH</v>
      </c>
      <c r="N86">
        <v>1</v>
      </c>
      <c r="O86">
        <v>351</v>
      </c>
      <c r="P86">
        <v>10380</v>
      </c>
      <c r="Q86">
        <v>3643380</v>
      </c>
      <c r="T86">
        <v>0</v>
      </c>
      <c r="AC86">
        <v>0</v>
      </c>
      <c r="AE86">
        <v>3643380</v>
      </c>
    </row>
    <row r="87">
      <c r="E87">
        <v>0</v>
      </c>
      <c r="F87">
        <v>0</v>
      </c>
      <c r="G87">
        <v>0</v>
      </c>
      <c r="H87" t="str">
        <v>사급</v>
      </c>
      <c r="J87" t="str">
        <v>세원테크</v>
      </c>
      <c r="K87" t="str">
        <v>DL3</v>
      </c>
      <c r="L87" t="str">
        <v>65264-F6000</v>
      </c>
      <c r="M87" t="str">
        <v>BRKT-CTR DR SCUFF MTG,LH</v>
      </c>
      <c r="N87">
        <v>1</v>
      </c>
      <c r="O87">
        <v>70</v>
      </c>
      <c r="P87">
        <v>10380</v>
      </c>
      <c r="Q87">
        <v>726600</v>
      </c>
      <c r="T87">
        <v>0</v>
      </c>
      <c r="AC87">
        <v>0</v>
      </c>
      <c r="AE87">
        <v>726600</v>
      </c>
    </row>
    <row r="88">
      <c r="A88" t="str">
        <v>호원오토</v>
      </c>
      <c r="B88" t="str">
        <v>DL3</v>
      </c>
      <c r="C88" t="str">
        <v>65180-L2000</v>
      </c>
      <c r="D88" t="str">
        <v>PNL ASSY-SIDE SILL, RH</v>
      </c>
      <c r="E88">
        <v>12207</v>
      </c>
      <c r="F88">
        <v>10380</v>
      </c>
      <c r="G88">
        <v>126708660</v>
      </c>
      <c r="J88" t="str">
        <v>호원오토</v>
      </c>
      <c r="K88" t="str">
        <v>DL3</v>
      </c>
      <c r="L88" t="str">
        <v>65180-L2000</v>
      </c>
      <c r="M88" t="str">
        <v>PNL ASSY-SIDE SILL, RH</v>
      </c>
      <c r="O88">
        <v>10956.699999999999</v>
      </c>
      <c r="Q88">
        <v>114468771.60000001</v>
      </c>
      <c r="T88">
        <v>0</v>
      </c>
      <c r="AC88">
        <v>0</v>
      </c>
      <c r="AE88">
        <v>114468771.60000001</v>
      </c>
    </row>
    <row r="89">
      <c r="E89">
        <v>0</v>
      </c>
      <c r="F89">
        <v>0</v>
      </c>
      <c r="G89">
        <v>0</v>
      </c>
      <c r="H89" t="str">
        <v>사급</v>
      </c>
      <c r="J89" t="str">
        <v>현대제철</v>
      </c>
      <c r="K89" t="str">
        <v>DL3</v>
      </c>
      <c r="L89" t="str">
        <v>65182-L2000</v>
      </c>
      <c r="M89" t="str">
        <v>PNL ASSY-SIDE SILL, RH</v>
      </c>
      <c r="N89">
        <v>1</v>
      </c>
      <c r="O89">
        <v>8937</v>
      </c>
      <c r="P89">
        <v>10380</v>
      </c>
      <c r="Q89">
        <v>92766060</v>
      </c>
      <c r="T89">
        <v>0</v>
      </c>
      <c r="AC89">
        <v>0</v>
      </c>
      <c r="AE89">
        <v>92766060</v>
      </c>
    </row>
    <row r="90">
      <c r="E90">
        <v>0</v>
      </c>
      <c r="F90">
        <v>0</v>
      </c>
      <c r="G90">
        <v>0</v>
      </c>
      <c r="H90" t="str">
        <v>하드웨어</v>
      </c>
      <c r="J90" t="str">
        <v>삼진스틸</v>
      </c>
      <c r="L90" t="str">
        <v>19353-07250</v>
      </c>
      <c r="M90" t="str">
        <v>NUT-FLANGE,CAP,WELD</v>
      </c>
      <c r="N90">
        <v>1</v>
      </c>
      <c r="O90">
        <v>181.14</v>
      </c>
      <c r="P90">
        <v>10380</v>
      </c>
      <c r="Q90">
        <v>1880233.2</v>
      </c>
      <c r="T90">
        <v>0</v>
      </c>
      <c r="AC90">
        <v>0</v>
      </c>
      <c r="AE90">
        <v>1880233.2</v>
      </c>
    </row>
    <row r="91">
      <c r="E91">
        <v>0</v>
      </c>
      <c r="F91">
        <v>0</v>
      </c>
      <c r="G91">
        <v>0</v>
      </c>
      <c r="H91" t="str">
        <v>하드웨어</v>
      </c>
      <c r="J91" t="str">
        <v>대신금속</v>
      </c>
      <c r="L91" t="str">
        <v>12922-06201</v>
      </c>
      <c r="M91" t="str">
        <v>BOLT-WELD(6-POINTS),GUIDE</v>
      </c>
      <c r="N91">
        <v>3</v>
      </c>
      <c r="O91">
        <v>35.56</v>
      </c>
      <c r="P91">
        <v>10380</v>
      </c>
      <c r="Q91">
        <v>1107338.4000000001</v>
      </c>
      <c r="T91">
        <v>0</v>
      </c>
      <c r="AC91">
        <v>0</v>
      </c>
      <c r="AE91">
        <v>1107338.4000000001</v>
      </c>
    </row>
    <row r="92">
      <c r="E92">
        <v>0</v>
      </c>
      <c r="F92">
        <v>0</v>
      </c>
      <c r="G92">
        <v>0</v>
      </c>
      <c r="H92" t="str">
        <v>사급</v>
      </c>
      <c r="J92" t="str">
        <v>세원테크</v>
      </c>
      <c r="K92" t="str">
        <v>DL3</v>
      </c>
      <c r="L92" t="str">
        <v>65352-L1000</v>
      </c>
      <c r="M92" t="str">
        <v>PATCH-S/SILL INR UPR, LH</v>
      </c>
      <c r="N92">
        <v>1</v>
      </c>
      <c r="O92">
        <v>499</v>
      </c>
      <c r="P92">
        <v>10380</v>
      </c>
      <c r="Q92">
        <v>5179620</v>
      </c>
      <c r="T92">
        <v>0</v>
      </c>
      <c r="AC92">
        <v>0</v>
      </c>
      <c r="AE92">
        <v>5179620</v>
      </c>
    </row>
    <row r="93">
      <c r="E93">
        <v>0</v>
      </c>
      <c r="F93">
        <v>0</v>
      </c>
      <c r="G93">
        <v>0</v>
      </c>
      <c r="H93" t="str">
        <v>사급</v>
      </c>
      <c r="J93" t="str">
        <v>세원테크</v>
      </c>
      <c r="K93" t="str">
        <v>DL3</v>
      </c>
      <c r="L93" t="str">
        <v>65294-D4000</v>
      </c>
      <c r="M93" t="str">
        <v>BRKT-CTR DR SCUFF MTG, LH</v>
      </c>
      <c r="N93">
        <v>1</v>
      </c>
      <c r="O93">
        <v>86</v>
      </c>
      <c r="P93">
        <v>10380</v>
      </c>
      <c r="Q93">
        <v>892680</v>
      </c>
      <c r="T93">
        <v>0</v>
      </c>
      <c r="AC93">
        <v>0</v>
      </c>
      <c r="AE93">
        <v>892680</v>
      </c>
    </row>
    <row r="94">
      <c r="E94">
        <v>0</v>
      </c>
      <c r="F94">
        <v>0</v>
      </c>
      <c r="G94">
        <v>0</v>
      </c>
      <c r="H94" t="str">
        <v>사급</v>
      </c>
      <c r="J94" t="str">
        <v>세원테크</v>
      </c>
      <c r="K94" t="str">
        <v>DL3</v>
      </c>
      <c r="L94" t="str">
        <v>65184-L1000</v>
      </c>
      <c r="M94" t="str">
        <v>REINF-SIDE SILL INR, LH</v>
      </c>
      <c r="N94">
        <v>1</v>
      </c>
      <c r="O94">
        <v>797</v>
      </c>
      <c r="P94">
        <v>10380</v>
      </c>
      <c r="Q94">
        <v>8272860</v>
      </c>
      <c r="T94">
        <v>0</v>
      </c>
      <c r="AC94">
        <v>0</v>
      </c>
      <c r="AE94">
        <v>8272860</v>
      </c>
    </row>
    <row r="95">
      <c r="E95">
        <v>0</v>
      </c>
      <c r="F95">
        <v>0</v>
      </c>
      <c r="G95">
        <v>0</v>
      </c>
      <c r="H95" t="str">
        <v>사급</v>
      </c>
      <c r="J95" t="str">
        <v>세원테크</v>
      </c>
      <c r="K95" t="str">
        <v>DL3</v>
      </c>
      <c r="L95" t="str">
        <v>651E2-L5000</v>
      </c>
      <c r="M95" t="str">
        <v>PATCH-S/SILL INR REINF NO.1, LH</v>
      </c>
      <c r="N95">
        <v>1</v>
      </c>
      <c r="O95">
        <v>351</v>
      </c>
      <c r="P95">
        <v>10380</v>
      </c>
      <c r="Q95">
        <v>3643380</v>
      </c>
      <c r="T95">
        <v>0</v>
      </c>
      <c r="AC95">
        <v>0</v>
      </c>
      <c r="AE95">
        <v>3643380</v>
      </c>
    </row>
    <row r="96">
      <c r="E96">
        <v>0</v>
      </c>
      <c r="F96">
        <v>0</v>
      </c>
      <c r="G96">
        <v>0</v>
      </c>
      <c r="H96" t="str">
        <v>사급</v>
      </c>
      <c r="J96" t="str">
        <v>세원테크</v>
      </c>
      <c r="K96" t="str">
        <v>DL3</v>
      </c>
      <c r="L96" t="str">
        <v>65264-F6000</v>
      </c>
      <c r="M96" t="str">
        <v>BRKT-CTR DR SCUFF MTG,LH</v>
      </c>
      <c r="N96">
        <v>1</v>
      </c>
      <c r="O96">
        <v>70</v>
      </c>
      <c r="P96">
        <v>10380</v>
      </c>
      <c r="Q96">
        <v>726600</v>
      </c>
      <c r="T96">
        <v>0</v>
      </c>
      <c r="AC96">
        <v>0</v>
      </c>
      <c r="AE96">
        <v>726600</v>
      </c>
    </row>
    <row r="97">
      <c r="A97" t="str">
        <v>호원오토</v>
      </c>
      <c r="B97" t="str">
        <v>GL3</v>
      </c>
      <c r="C97" t="str">
        <v>65131-L8000S</v>
      </c>
      <c r="D97" t="str">
        <v>REINF ASSY-CTR FLOOR (일반/HEV)</v>
      </c>
      <c r="E97">
        <v>6987</v>
      </c>
      <c r="F97">
        <v>1782</v>
      </c>
      <c r="G97">
        <v>12450834</v>
      </c>
      <c r="J97" t="str">
        <v>호원오토</v>
      </c>
      <c r="K97" t="str">
        <v>GL3</v>
      </c>
      <c r="L97" t="str">
        <v>65131-L8000</v>
      </c>
      <c r="M97" t="str">
        <v>REINF ASSY-CTR FLOOR (일반/HEV)</v>
      </c>
      <c r="O97">
        <v>5349.6900000000005</v>
      </c>
      <c r="Q97">
        <v>9858522.96</v>
      </c>
      <c r="T97">
        <v>0</v>
      </c>
      <c r="AC97">
        <v>0</v>
      </c>
      <c r="AE97">
        <v>9858522.96</v>
      </c>
    </row>
    <row r="98">
      <c r="E98">
        <v>0</v>
      </c>
      <c r="F98">
        <v>0</v>
      </c>
      <c r="G98">
        <v>0</v>
      </c>
      <c r="H98" t="str">
        <v>사급</v>
      </c>
      <c r="J98" t="str">
        <v>세원테크</v>
      </c>
      <c r="K98" t="str">
        <v>GL3</v>
      </c>
      <c r="L98" t="str">
        <v>65132-L8000</v>
      </c>
      <c r="M98" t="str">
        <v>REINF-CTR FLOOR</v>
      </c>
      <c r="N98">
        <v>1</v>
      </c>
      <c r="O98">
        <v>4946</v>
      </c>
      <c r="P98">
        <v>1782</v>
      </c>
      <c r="Q98">
        <v>8813772</v>
      </c>
      <c r="T98">
        <v>0</v>
      </c>
      <c r="AC98">
        <v>0</v>
      </c>
      <c r="AE98">
        <v>8813772</v>
      </c>
    </row>
    <row r="99">
      <c r="E99">
        <v>0</v>
      </c>
      <c r="F99">
        <v>0</v>
      </c>
      <c r="G99">
        <v>0</v>
      </c>
      <c r="H99" t="str">
        <v>하드웨어</v>
      </c>
      <c r="J99" t="str">
        <v>대신금속</v>
      </c>
      <c r="K99" t="str">
        <v>GL3</v>
      </c>
      <c r="L99" t="str">
        <v>12900-06140</v>
      </c>
      <c r="M99" t="str">
        <v>BOLT-WELD</v>
      </c>
      <c r="N99">
        <v>4</v>
      </c>
      <c r="O99">
        <v>16.12</v>
      </c>
      <c r="P99">
        <v>1782</v>
      </c>
      <c r="Q99">
        <v>114903.36</v>
      </c>
      <c r="T99">
        <v>0</v>
      </c>
      <c r="AC99">
        <v>0</v>
      </c>
      <c r="AE99">
        <v>114903.36</v>
      </c>
    </row>
    <row r="100">
      <c r="E100">
        <v>0</v>
      </c>
      <c r="F100">
        <v>0</v>
      </c>
      <c r="G100">
        <v>0</v>
      </c>
      <c r="H100" t="str">
        <v>하드웨어</v>
      </c>
      <c r="J100" t="str">
        <v>대신금속</v>
      </c>
      <c r="K100" t="str">
        <v>GL3</v>
      </c>
      <c r="L100" t="str">
        <v>12900-06180</v>
      </c>
      <c r="M100" t="str">
        <v>BOLT-WELD</v>
      </c>
      <c r="N100">
        <v>4</v>
      </c>
      <c r="O100">
        <v>17.89</v>
      </c>
      <c r="P100">
        <v>1782</v>
      </c>
      <c r="Q100">
        <v>127519.92</v>
      </c>
      <c r="T100">
        <v>0</v>
      </c>
      <c r="AC100">
        <v>0</v>
      </c>
      <c r="AE100">
        <v>127519.92</v>
      </c>
    </row>
    <row r="101">
      <c r="E101">
        <v>0</v>
      </c>
      <c r="F101">
        <v>0</v>
      </c>
      <c r="G101">
        <v>0</v>
      </c>
      <c r="H101" t="str">
        <v>하드웨어</v>
      </c>
      <c r="J101" t="str">
        <v>삼진스틸</v>
      </c>
      <c r="K101" t="str">
        <v>GL3</v>
      </c>
      <c r="L101" t="str">
        <v>13905-06000</v>
      </c>
      <c r="M101" t="str">
        <v>NUT-WEL D</v>
      </c>
      <c r="N101">
        <v>1</v>
      </c>
      <c r="O101">
        <v>11.400000000000002</v>
      </c>
      <c r="P101">
        <v>1782</v>
      </c>
      <c r="Q101">
        <v>20314.800000000003</v>
      </c>
      <c r="T101">
        <v>0</v>
      </c>
      <c r="AC101">
        <v>0</v>
      </c>
      <c r="AE101">
        <v>20314.800000000003</v>
      </c>
    </row>
    <row r="102">
      <c r="E102">
        <v>0</v>
      </c>
      <c r="F102">
        <v>0</v>
      </c>
      <c r="G102">
        <v>0</v>
      </c>
      <c r="H102" t="str">
        <v>하드웨어</v>
      </c>
      <c r="J102" t="str">
        <v>삼진스틸</v>
      </c>
      <c r="K102" t="str">
        <v>GL3</v>
      </c>
      <c r="L102" t="str">
        <v>13905-08000</v>
      </c>
      <c r="M102" t="str">
        <v>NUT-WELD</v>
      </c>
      <c r="N102">
        <v>4</v>
      </c>
      <c r="O102">
        <v>20.14</v>
      </c>
      <c r="P102">
        <v>1782</v>
      </c>
      <c r="Q102">
        <v>143557.92</v>
      </c>
      <c r="T102">
        <v>0</v>
      </c>
      <c r="AC102">
        <v>0</v>
      </c>
      <c r="AE102">
        <v>143557.92</v>
      </c>
    </row>
    <row r="103">
      <c r="E103">
        <v>0</v>
      </c>
      <c r="F103">
        <v>0</v>
      </c>
      <c r="G103">
        <v>0</v>
      </c>
      <c r="H103" t="str">
        <v>협력업체</v>
      </c>
      <c r="I103" t="str">
        <v>협력업체 철판</v>
      </c>
      <c r="J103" t="str">
        <v>제이에스테크</v>
      </c>
      <c r="K103" t="str">
        <v>GL3</v>
      </c>
      <c r="L103" t="str">
        <v>651M8-L8000</v>
      </c>
      <c r="M103" t="str">
        <v>BRKT-CTR SUPPORT MTG,LH</v>
      </c>
      <c r="N103">
        <v>1</v>
      </c>
      <c r="O103">
        <v>113</v>
      </c>
      <c r="P103">
        <v>1782</v>
      </c>
      <c r="Q103">
        <v>201366</v>
      </c>
      <c r="S103">
        <v>1013.2</v>
      </c>
      <c r="T103">
        <v>213</v>
      </c>
      <c r="U103" t="str">
        <v>SPCC</v>
      </c>
      <c r="V103">
        <v>1.2</v>
      </c>
      <c r="W103">
        <v>209</v>
      </c>
      <c r="X103">
        <v>105</v>
      </c>
      <c r="Y103">
        <v>1</v>
      </c>
      <c r="Z103">
        <v>7.85</v>
      </c>
      <c r="AA103">
        <v>0.21</v>
      </c>
      <c r="AC103">
        <v>379566</v>
      </c>
      <c r="AE103">
        <v>-178200</v>
      </c>
    </row>
    <row r="104">
      <c r="E104">
        <v>0</v>
      </c>
      <c r="F104">
        <v>0</v>
      </c>
      <c r="H104" t="str">
        <v>협력업체</v>
      </c>
      <c r="I104" t="str">
        <v>협력업체 철판</v>
      </c>
      <c r="J104" t="str">
        <v>웅지테크</v>
      </c>
      <c r="K104" t="str">
        <v>GL3</v>
      </c>
      <c r="L104" t="str">
        <v>65136-L8000</v>
      </c>
      <c r="M104" t="str">
        <v>REINF-CTR SUPPORT MTG,LH</v>
      </c>
      <c r="N104">
        <v>1</v>
      </c>
      <c r="O104">
        <v>205</v>
      </c>
      <c r="P104">
        <v>1782</v>
      </c>
      <c r="Q104">
        <v>365310</v>
      </c>
      <c r="S104">
        <v>1013.2</v>
      </c>
      <c r="T104">
        <v>51</v>
      </c>
      <c r="U104" t="str">
        <v>SPCC</v>
      </c>
      <c r="V104">
        <v>1</v>
      </c>
      <c r="W104">
        <v>93</v>
      </c>
      <c r="X104">
        <v>71</v>
      </c>
      <c r="Y104">
        <v>1</v>
      </c>
      <c r="Z104">
        <v>7.85</v>
      </c>
      <c r="AA104">
        <v>0.05</v>
      </c>
      <c r="AC104">
        <v>90882</v>
      </c>
      <c r="AE104">
        <v>274428</v>
      </c>
    </row>
    <row r="105">
      <c r="E105">
        <v>0</v>
      </c>
      <c r="F105">
        <v>0</v>
      </c>
      <c r="G105">
        <v>0</v>
      </c>
      <c r="H105" t="str">
        <v>하드웨어</v>
      </c>
      <c r="J105" t="str">
        <v>삼진스틸</v>
      </c>
      <c r="L105" t="str">
        <v>13905-08000</v>
      </c>
      <c r="M105" t="str">
        <v>NUT-WELD</v>
      </c>
      <c r="N105">
        <v>2</v>
      </c>
      <c r="O105">
        <v>20.14</v>
      </c>
      <c r="P105">
        <v>1782</v>
      </c>
      <c r="Q105">
        <v>71778.96</v>
      </c>
      <c r="T105">
        <v>0</v>
      </c>
      <c r="AC105">
        <v>0</v>
      </c>
      <c r="AE105">
        <v>71778.96</v>
      </c>
    </row>
    <row r="106">
      <c r="A106" t="str">
        <v>호원오토</v>
      </c>
      <c r="B106" t="str">
        <v>GL3</v>
      </c>
      <c r="C106" t="str">
        <v>65131-L8400S</v>
      </c>
      <c r="D106" t="str">
        <v>REINF ASSY-CTR FLOOR (AWD)</v>
      </c>
      <c r="E106">
        <v>7122</v>
      </c>
      <c r="F106">
        <v>198</v>
      </c>
      <c r="G106">
        <v>1410156</v>
      </c>
      <c r="J106" t="str">
        <v>호원오토</v>
      </c>
      <c r="K106" t="str">
        <v>GL3</v>
      </c>
      <c r="L106" t="str">
        <v>65131-L8400</v>
      </c>
      <c r="M106" t="str">
        <v>REINF ASSY-CTR FLOOR (AWD)</v>
      </c>
      <c r="O106">
        <v>5377.59</v>
      </c>
      <c r="Q106">
        <v>1100915.64</v>
      </c>
      <c r="T106">
        <v>0</v>
      </c>
      <c r="AC106">
        <v>0</v>
      </c>
      <c r="AE106">
        <v>1100915.64</v>
      </c>
    </row>
    <row r="107">
      <c r="E107">
        <v>0</v>
      </c>
      <c r="F107">
        <v>0</v>
      </c>
      <c r="G107">
        <v>0</v>
      </c>
      <c r="H107" t="str">
        <v>사급</v>
      </c>
      <c r="J107" t="str">
        <v>세원테크</v>
      </c>
      <c r="K107" t="str">
        <v>GL3</v>
      </c>
      <c r="L107" t="str">
        <v>65132-L8400</v>
      </c>
      <c r="M107" t="str">
        <v>REINF-CTR FLOOR</v>
      </c>
      <c r="N107">
        <v>1</v>
      </c>
      <c r="O107">
        <v>4587</v>
      </c>
      <c r="P107">
        <v>198</v>
      </c>
      <c r="Q107">
        <v>908226</v>
      </c>
      <c r="T107">
        <v>0</v>
      </c>
      <c r="AC107">
        <v>0</v>
      </c>
      <c r="AE107">
        <v>908226</v>
      </c>
    </row>
    <row r="108">
      <c r="E108">
        <v>0</v>
      </c>
      <c r="F108">
        <v>0</v>
      </c>
      <c r="G108">
        <v>0</v>
      </c>
      <c r="H108" t="str">
        <v>하드웨어</v>
      </c>
      <c r="J108" t="str">
        <v>대신금속</v>
      </c>
      <c r="K108" t="str">
        <v>GL3</v>
      </c>
      <c r="L108" t="str">
        <v>12900-06140</v>
      </c>
      <c r="M108" t="str">
        <v>BOLT-WELD</v>
      </c>
      <c r="N108">
        <v>4</v>
      </c>
      <c r="O108">
        <v>16.12</v>
      </c>
      <c r="P108">
        <v>198</v>
      </c>
      <c r="Q108">
        <v>12767.04</v>
      </c>
      <c r="T108">
        <v>0</v>
      </c>
      <c r="AC108">
        <v>0</v>
      </c>
      <c r="AE108">
        <v>12767.04</v>
      </c>
    </row>
    <row r="109">
      <c r="E109">
        <v>0</v>
      </c>
      <c r="F109">
        <v>0</v>
      </c>
      <c r="G109">
        <v>0</v>
      </c>
      <c r="H109" t="str">
        <v>하드웨어</v>
      </c>
      <c r="J109" t="str">
        <v>대신금속</v>
      </c>
      <c r="K109" t="str">
        <v>GL3</v>
      </c>
      <c r="L109" t="str">
        <v>12900-06180</v>
      </c>
      <c r="M109" t="str">
        <v>BOLT-WELD</v>
      </c>
      <c r="N109">
        <v>4</v>
      </c>
      <c r="O109">
        <v>17.89</v>
      </c>
      <c r="P109">
        <v>198</v>
      </c>
      <c r="Q109">
        <v>14168.880000000001</v>
      </c>
      <c r="T109">
        <v>0</v>
      </c>
      <c r="AC109">
        <v>0</v>
      </c>
      <c r="AE109">
        <v>14168.880000000001</v>
      </c>
    </row>
    <row r="110">
      <c r="E110">
        <v>0</v>
      </c>
      <c r="F110">
        <v>0</v>
      </c>
      <c r="G110">
        <v>0</v>
      </c>
      <c r="H110" t="str">
        <v>하드웨어</v>
      </c>
      <c r="J110" t="str">
        <v>삼진스틸</v>
      </c>
      <c r="K110" t="str">
        <v>GL3</v>
      </c>
      <c r="L110" t="str">
        <v>13905-06000</v>
      </c>
      <c r="M110" t="str">
        <v>NUT-WEL D</v>
      </c>
      <c r="N110">
        <v>1</v>
      </c>
      <c r="O110">
        <v>11.400000000000002</v>
      </c>
      <c r="P110">
        <v>198</v>
      </c>
      <c r="Q110">
        <v>2257.2000000000003</v>
      </c>
      <c r="T110">
        <v>0</v>
      </c>
      <c r="AC110">
        <v>0</v>
      </c>
      <c r="AE110">
        <v>2257.2000000000003</v>
      </c>
    </row>
    <row r="111">
      <c r="E111">
        <v>0</v>
      </c>
      <c r="F111">
        <v>0</v>
      </c>
      <c r="G111">
        <v>0</v>
      </c>
      <c r="H111" t="str">
        <v>하드웨어</v>
      </c>
      <c r="J111" t="str">
        <v>삼진스틸</v>
      </c>
      <c r="K111" t="str">
        <v>GL3</v>
      </c>
      <c r="L111" t="str">
        <v>13905-08000</v>
      </c>
      <c r="M111" t="str">
        <v>NUT-WELD</v>
      </c>
      <c r="N111">
        <v>4</v>
      </c>
      <c r="O111">
        <v>20.14</v>
      </c>
      <c r="P111">
        <v>198</v>
      </c>
      <c r="Q111">
        <v>15950.880000000001</v>
      </c>
      <c r="T111">
        <v>0</v>
      </c>
      <c r="AC111">
        <v>0</v>
      </c>
      <c r="AE111">
        <v>15950.880000000001</v>
      </c>
    </row>
    <row r="112">
      <c r="E112">
        <v>0</v>
      </c>
      <c r="F112">
        <v>0</v>
      </c>
      <c r="G112">
        <v>0</v>
      </c>
      <c r="H112" t="str">
        <v>협력업체</v>
      </c>
      <c r="I112" t="str">
        <v>협력업체 철판</v>
      </c>
      <c r="J112" t="str">
        <v>웅지테크</v>
      </c>
      <c r="K112" t="str">
        <v>GL3</v>
      </c>
      <c r="L112" t="str">
        <v>651M7-L8400</v>
      </c>
      <c r="M112" t="str">
        <v>BRKT-CTR SUPPORT MTG,LH</v>
      </c>
      <c r="N112">
        <v>1</v>
      </c>
      <c r="O112">
        <v>369.9</v>
      </c>
      <c r="P112">
        <v>198</v>
      </c>
      <c r="Q112">
        <v>73240.2</v>
      </c>
      <c r="S112">
        <v>1013.2</v>
      </c>
      <c r="T112">
        <v>101</v>
      </c>
      <c r="U112" t="str">
        <v>SPCC</v>
      </c>
      <c r="V112">
        <v>1.2</v>
      </c>
      <c r="W112">
        <v>105</v>
      </c>
      <c r="X112">
        <v>103</v>
      </c>
      <c r="Y112">
        <v>1</v>
      </c>
      <c r="Z112">
        <v>7.85</v>
      </c>
      <c r="AA112">
        <v>0.1</v>
      </c>
      <c r="AC112">
        <v>19998</v>
      </c>
      <c r="AE112">
        <v>53242.2</v>
      </c>
    </row>
    <row r="113">
      <c r="E113">
        <v>0</v>
      </c>
      <c r="F113">
        <v>0</v>
      </c>
      <c r="H113" t="str">
        <v>협력업체</v>
      </c>
      <c r="I113" t="str">
        <v>협력업체 철판</v>
      </c>
      <c r="J113" t="str">
        <v>웅지테크</v>
      </c>
      <c r="K113" t="str">
        <v>GL3</v>
      </c>
      <c r="L113" t="str">
        <v>65136-L8400</v>
      </c>
      <c r="M113" t="str">
        <v>BRKT-CTR SUPPORT MTG,LH</v>
      </c>
      <c r="N113">
        <v>1</v>
      </c>
      <c r="O113">
        <v>335</v>
      </c>
      <c r="P113">
        <v>198</v>
      </c>
      <c r="Q113">
        <v>66330</v>
      </c>
      <c r="S113">
        <v>1013.2</v>
      </c>
      <c r="T113">
        <v>61</v>
      </c>
      <c r="U113" t="str">
        <v>SPCC</v>
      </c>
      <c r="V113">
        <v>1</v>
      </c>
      <c r="W113">
        <v>91</v>
      </c>
      <c r="X113">
        <v>85</v>
      </c>
      <c r="Y113">
        <v>1</v>
      </c>
      <c r="Z113">
        <v>7.85</v>
      </c>
      <c r="AA113">
        <v>0.06</v>
      </c>
      <c r="AC113">
        <v>12078</v>
      </c>
      <c r="AE113">
        <v>54252</v>
      </c>
    </row>
    <row r="114">
      <c r="E114">
        <v>0</v>
      </c>
      <c r="F114">
        <v>0</v>
      </c>
      <c r="G114">
        <v>0</v>
      </c>
      <c r="H114" t="str">
        <v>하드웨어</v>
      </c>
      <c r="J114" t="str">
        <v>하드웨어</v>
      </c>
      <c r="L114" t="str">
        <v>13905-08000</v>
      </c>
      <c r="M114" t="str">
        <v>NUT-WELD</v>
      </c>
      <c r="N114">
        <v>2</v>
      </c>
      <c r="O114">
        <v>20.14</v>
      </c>
      <c r="P114">
        <v>198</v>
      </c>
      <c r="Q114">
        <v>7975.4400000000005</v>
      </c>
      <c r="T114">
        <v>0</v>
      </c>
      <c r="AC114">
        <v>0</v>
      </c>
      <c r="AE114">
        <v>7975.4400000000005</v>
      </c>
    </row>
    <row r="115">
      <c r="A115" t="str">
        <v>호원오토</v>
      </c>
      <c r="B115" t="str">
        <v>GL3</v>
      </c>
      <c r="C115" t="str">
        <v>65151-L8000</v>
      </c>
      <c r="D115" t="str">
        <v>MEMBER-FR SEAT CROSS,LH</v>
      </c>
      <c r="E115">
        <v>4224</v>
      </c>
      <c r="F115">
        <v>1980</v>
      </c>
      <c r="G115">
        <v>8363520</v>
      </c>
      <c r="J115" t="str">
        <v>호원오토</v>
      </c>
      <c r="K115" t="str">
        <v>GL3</v>
      </c>
      <c r="L115" t="str">
        <v>65151-L8000</v>
      </c>
      <c r="M115" t="str">
        <v>MEMBER-FR SEAT CROSS,LH</v>
      </c>
      <c r="O115">
        <v>3703.18</v>
      </c>
      <c r="Q115">
        <v>7332296.4</v>
      </c>
      <c r="T115">
        <v>0</v>
      </c>
      <c r="AC115">
        <v>0</v>
      </c>
      <c r="AE115">
        <v>7332296.4</v>
      </c>
    </row>
    <row r="116">
      <c r="E116">
        <v>0</v>
      </c>
      <c r="F116">
        <v>0</v>
      </c>
      <c r="G116">
        <v>0</v>
      </c>
      <c r="H116" t="str">
        <v>사급</v>
      </c>
      <c r="J116" t="str">
        <v>세원테크</v>
      </c>
      <c r="K116" t="str">
        <v>GL3</v>
      </c>
      <c r="L116" t="str">
        <v>65152-L8000</v>
      </c>
      <c r="M116" t="str">
        <v>MEMBER-FR SEAT CROSS,LH</v>
      </c>
      <c r="N116">
        <v>1</v>
      </c>
      <c r="O116">
        <v>2439</v>
      </c>
      <c r="P116">
        <v>1980</v>
      </c>
      <c r="Q116">
        <v>4829220</v>
      </c>
      <c r="T116">
        <v>0</v>
      </c>
      <c r="AC116">
        <v>0</v>
      </c>
      <c r="AE116">
        <v>4829220</v>
      </c>
    </row>
    <row r="117">
      <c r="E117">
        <v>0</v>
      </c>
      <c r="F117">
        <v>0</v>
      </c>
      <c r="G117">
        <v>0</v>
      </c>
      <c r="H117" t="str">
        <v>하드웨어</v>
      </c>
      <c r="J117" t="str">
        <v>삼진스틸</v>
      </c>
      <c r="L117" t="str">
        <v>10216-10000</v>
      </c>
      <c r="M117" t="str">
        <v>NUT-WELD</v>
      </c>
      <c r="N117">
        <v>1</v>
      </c>
      <c r="O117">
        <v>79.5</v>
      </c>
      <c r="P117">
        <v>1980</v>
      </c>
      <c r="Q117">
        <v>157410</v>
      </c>
      <c r="T117">
        <v>0</v>
      </c>
      <c r="AC117">
        <v>0</v>
      </c>
      <c r="AE117">
        <v>157410</v>
      </c>
    </row>
    <row r="118">
      <c r="E118">
        <v>0</v>
      </c>
      <c r="F118">
        <v>0</v>
      </c>
      <c r="G118">
        <v>0</v>
      </c>
      <c r="H118" t="str">
        <v>협력업체</v>
      </c>
      <c r="I118" t="str">
        <v>협력업체 철판</v>
      </c>
      <c r="J118" t="str">
        <v>웅지테크</v>
      </c>
      <c r="K118" t="str">
        <v>GL3</v>
      </c>
      <c r="L118" t="str">
        <v>65158-L8000</v>
      </c>
      <c r="M118" t="str">
        <v>REINF-FR SEAT FR OTR MTG,LH</v>
      </c>
      <c r="N118">
        <v>1</v>
      </c>
      <c r="O118">
        <v>561</v>
      </c>
      <c r="P118">
        <v>1980</v>
      </c>
      <c r="Q118">
        <v>1110780</v>
      </c>
      <c r="S118">
        <v>1194.2</v>
      </c>
      <c r="T118">
        <v>322</v>
      </c>
      <c r="U118" t="str">
        <v>SPFC590DP</v>
      </c>
      <c r="V118">
        <v>1.4</v>
      </c>
      <c r="W118">
        <v>161</v>
      </c>
      <c r="X118">
        <v>310</v>
      </c>
      <c r="Y118">
        <v>2</v>
      </c>
      <c r="Z118">
        <v>7.85</v>
      </c>
      <c r="AA118">
        <v>0.27</v>
      </c>
      <c r="AC118">
        <v>637560</v>
      </c>
      <c r="AE118">
        <v>473220</v>
      </c>
    </row>
    <row r="119">
      <c r="E119">
        <v>0</v>
      </c>
      <c r="F119">
        <v>0</v>
      </c>
      <c r="G119">
        <v>0</v>
      </c>
      <c r="H119" t="str">
        <v>협력업체</v>
      </c>
      <c r="I119" t="str">
        <v>협력업체 철판</v>
      </c>
      <c r="J119" t="str">
        <v>웅지테크</v>
      </c>
      <c r="K119" t="str">
        <v>GL3</v>
      </c>
      <c r="L119" t="str">
        <v>651E3-L8000</v>
      </c>
      <c r="M119" t="str">
        <v>REINF-FR SEAT CROSS MBR SD,LH</v>
      </c>
      <c r="N119">
        <v>1</v>
      </c>
      <c r="O119">
        <v>391.68</v>
      </c>
      <c r="P119">
        <v>1980</v>
      </c>
      <c r="Q119">
        <v>775526.4</v>
      </c>
      <c r="S119">
        <v>1343.2</v>
      </c>
      <c r="T119">
        <v>188</v>
      </c>
      <c r="U119" t="str">
        <v>SPFC980Y</v>
      </c>
      <c r="V119">
        <v>0.8</v>
      </c>
      <c r="W119">
        <v>327</v>
      </c>
      <c r="X119">
        <v>135</v>
      </c>
      <c r="Y119">
        <v>2</v>
      </c>
      <c r="Z119">
        <v>7.85</v>
      </c>
      <c r="AA119">
        <v>0.14</v>
      </c>
      <c r="AC119">
        <v>372240</v>
      </c>
      <c r="AE119">
        <v>403286.4</v>
      </c>
    </row>
    <row r="120">
      <c r="E120">
        <v>0</v>
      </c>
      <c r="F120">
        <v>0</v>
      </c>
      <c r="G120">
        <v>0</v>
      </c>
      <c r="H120" t="str">
        <v>하드웨어</v>
      </c>
      <c r="J120" t="str">
        <v>삼진스틸</v>
      </c>
      <c r="L120" t="str">
        <v>10216-10000</v>
      </c>
      <c r="M120" t="str">
        <v>NUT-WELD</v>
      </c>
      <c r="O120">
        <v>0</v>
      </c>
      <c r="P120">
        <v>1980</v>
      </c>
      <c r="Q120">
        <v>0</v>
      </c>
      <c r="T120">
        <v>0</v>
      </c>
      <c r="AC120">
        <v>0</v>
      </c>
      <c r="AE120">
        <v>0</v>
      </c>
    </row>
    <row r="121">
      <c r="E121">
        <v>0</v>
      </c>
      <c r="F121">
        <v>0</v>
      </c>
      <c r="G121">
        <v>0</v>
      </c>
      <c r="H121" t="str">
        <v>협력업체</v>
      </c>
      <c r="I121" t="str">
        <v>협력업체 철판</v>
      </c>
      <c r="J121" t="str">
        <v>웅지테크</v>
      </c>
      <c r="K121" t="str">
        <v>GL3</v>
      </c>
      <c r="L121" t="str">
        <v>65278-L8000</v>
      </c>
      <c r="M121" t="str">
        <v>REINF-FR SEAT CRO/MBR INR,LH</v>
      </c>
      <c r="N121">
        <v>1</v>
      </c>
      <c r="O121">
        <v>232</v>
      </c>
      <c r="P121">
        <v>1980</v>
      </c>
      <c r="Q121">
        <v>459360</v>
      </c>
      <c r="S121">
        <v>1343.2</v>
      </c>
      <c r="T121">
        <v>215</v>
      </c>
      <c r="U121" t="str">
        <v>SPFC980Y</v>
      </c>
      <c r="V121">
        <v>0.8</v>
      </c>
      <c r="W121">
        <v>236</v>
      </c>
      <c r="X121">
        <v>105</v>
      </c>
      <c r="Y121">
        <v>1</v>
      </c>
      <c r="Z121">
        <v>7.85</v>
      </c>
      <c r="AA121">
        <v>0.16</v>
      </c>
      <c r="AC121">
        <v>425700</v>
      </c>
      <c r="AE121">
        <v>33660</v>
      </c>
    </row>
    <row r="122">
      <c r="A122" t="str">
        <v>호원오토</v>
      </c>
      <c r="B122" t="str">
        <v>GL3</v>
      </c>
      <c r="C122" t="str">
        <v>65161-L8000</v>
      </c>
      <c r="D122" t="str">
        <v>MEMBER-FR SEAT CROSS,RH</v>
      </c>
      <c r="E122">
        <v>3860</v>
      </c>
      <c r="F122">
        <v>1980</v>
      </c>
      <c r="G122">
        <v>7642800</v>
      </c>
      <c r="J122" t="str">
        <v>호원오토</v>
      </c>
      <c r="K122" t="str">
        <v>GL3</v>
      </c>
      <c r="L122" t="str">
        <v>65161-L8000</v>
      </c>
      <c r="M122" t="str">
        <v>MEMBER-FR SEAT CROSS,RH</v>
      </c>
      <c r="O122">
        <v>3482.58</v>
      </c>
      <c r="Q122">
        <v>6918080.4</v>
      </c>
      <c r="T122">
        <v>0</v>
      </c>
      <c r="AC122">
        <v>0</v>
      </c>
      <c r="AE122">
        <v>6918080.4</v>
      </c>
    </row>
    <row r="123">
      <c r="E123">
        <v>0</v>
      </c>
      <c r="F123">
        <v>0</v>
      </c>
      <c r="G123">
        <v>0</v>
      </c>
      <c r="H123" t="str">
        <v>사급</v>
      </c>
      <c r="J123" t="str">
        <v>세원테크</v>
      </c>
      <c r="K123" t="str">
        <v>GL3</v>
      </c>
      <c r="L123" t="str">
        <v>65162-L8000</v>
      </c>
      <c r="M123" t="str">
        <v>MEMBER-FR SEAT CROSS,RH</v>
      </c>
      <c r="N123">
        <v>1</v>
      </c>
      <c r="O123">
        <v>2439</v>
      </c>
      <c r="P123">
        <v>1980</v>
      </c>
      <c r="Q123">
        <v>4829220</v>
      </c>
      <c r="T123">
        <v>0</v>
      </c>
      <c r="AC123">
        <v>0</v>
      </c>
      <c r="AE123">
        <v>4829220</v>
      </c>
    </row>
    <row r="124">
      <c r="E124">
        <v>0</v>
      </c>
      <c r="F124">
        <v>0</v>
      </c>
      <c r="H124" t="str">
        <v>하드웨어</v>
      </c>
      <c r="J124" t="str">
        <v>삼진스틸</v>
      </c>
      <c r="K124" t="str">
        <v>GL3</v>
      </c>
      <c r="L124" t="str">
        <v>13905-06000</v>
      </c>
      <c r="M124" t="str">
        <v>NUT-WEL D</v>
      </c>
      <c r="N124">
        <v>2</v>
      </c>
      <c r="O124">
        <v>11.400000000000002</v>
      </c>
      <c r="P124">
        <v>1980</v>
      </c>
      <c r="Q124">
        <v>45144.00000000001</v>
      </c>
      <c r="AC124">
        <v>0</v>
      </c>
    </row>
    <row r="125">
      <c r="E125">
        <v>0</v>
      </c>
      <c r="F125">
        <v>0</v>
      </c>
      <c r="G125">
        <v>0</v>
      </c>
      <c r="H125" t="str">
        <v>하드웨어</v>
      </c>
      <c r="J125" t="str">
        <v>삼진스틸</v>
      </c>
      <c r="L125" t="str">
        <v>10216-10000</v>
      </c>
      <c r="M125" t="str">
        <v>NUT-WELD</v>
      </c>
      <c r="N125">
        <v>1</v>
      </c>
      <c r="O125">
        <v>79.5</v>
      </c>
      <c r="P125">
        <v>1980</v>
      </c>
      <c r="Q125">
        <v>157410</v>
      </c>
      <c r="T125">
        <v>0</v>
      </c>
      <c r="AC125">
        <v>0</v>
      </c>
      <c r="AE125">
        <v>157410</v>
      </c>
    </row>
    <row r="126">
      <c r="E126">
        <v>0</v>
      </c>
      <c r="F126">
        <v>0</v>
      </c>
      <c r="G126">
        <v>0</v>
      </c>
      <c r="H126" t="str">
        <v>협력업체</v>
      </c>
      <c r="I126" t="str">
        <v>협력업체 철판</v>
      </c>
      <c r="J126" t="str">
        <v>웅지테크</v>
      </c>
      <c r="K126" t="str">
        <v>GL3</v>
      </c>
      <c r="L126" t="str">
        <v>65168-L8000</v>
      </c>
      <c r="M126" t="str">
        <v>REINF-FR SEAT FR OTR MTG,RH</v>
      </c>
      <c r="N126">
        <v>1</v>
      </c>
      <c r="O126">
        <v>561</v>
      </c>
      <c r="P126">
        <v>1980</v>
      </c>
      <c r="Q126">
        <v>1110780</v>
      </c>
      <c r="S126">
        <v>1194.2</v>
      </c>
      <c r="T126">
        <v>322</v>
      </c>
      <c r="U126" t="str">
        <v>SPFC590DP</v>
      </c>
      <c r="V126">
        <v>1.4</v>
      </c>
      <c r="W126">
        <v>161</v>
      </c>
      <c r="X126">
        <v>310</v>
      </c>
      <c r="Y126">
        <v>2</v>
      </c>
      <c r="Z126">
        <v>7.85</v>
      </c>
      <c r="AA126">
        <v>0.27</v>
      </c>
      <c r="AC126">
        <v>637560</v>
      </c>
      <c r="AE126">
        <v>473220</v>
      </c>
    </row>
    <row r="127">
      <c r="E127">
        <v>0</v>
      </c>
      <c r="F127">
        <v>0</v>
      </c>
      <c r="G127">
        <v>0</v>
      </c>
      <c r="H127" t="str">
        <v>협력업체</v>
      </c>
      <c r="I127" t="str">
        <v>협력업체 철판</v>
      </c>
      <c r="J127" t="str">
        <v>웅지테크</v>
      </c>
      <c r="K127" t="str">
        <v>GL3</v>
      </c>
      <c r="L127" t="str">
        <v>651F3-L8000</v>
      </c>
      <c r="M127" t="str">
        <v>REINF-FR SEAT CROSS MBR SD,RH</v>
      </c>
      <c r="N127">
        <v>1</v>
      </c>
      <c r="O127">
        <v>391.68</v>
      </c>
      <c r="P127">
        <v>1980</v>
      </c>
      <c r="Q127">
        <v>775526.4</v>
      </c>
      <c r="S127">
        <v>1343.2</v>
      </c>
      <c r="T127">
        <v>188</v>
      </c>
      <c r="U127" t="str">
        <v>SPFC980Y</v>
      </c>
      <c r="V127">
        <v>0.8</v>
      </c>
      <c r="W127">
        <v>327</v>
      </c>
      <c r="X127">
        <v>135</v>
      </c>
      <c r="Y127">
        <v>2</v>
      </c>
      <c r="Z127">
        <v>7.85</v>
      </c>
      <c r="AA127">
        <v>0.14</v>
      </c>
      <c r="AC127">
        <v>372240</v>
      </c>
      <c r="AE127">
        <v>403286.4</v>
      </c>
    </row>
    <row r="128">
      <c r="E128">
        <v>0</v>
      </c>
      <c r="F128">
        <v>0</v>
      </c>
      <c r="G128">
        <v>0</v>
      </c>
      <c r="H128" t="str">
        <v>하드웨어</v>
      </c>
      <c r="J128" t="str">
        <v>하드웨어</v>
      </c>
      <c r="L128" t="str">
        <v>10216-10000</v>
      </c>
      <c r="M128" t="str">
        <v>NUT-WELD</v>
      </c>
      <c r="O128">
        <v>0</v>
      </c>
      <c r="P128">
        <v>1980</v>
      </c>
      <c r="Q128">
        <v>0</v>
      </c>
      <c r="T128">
        <v>0</v>
      </c>
      <c r="AC128">
        <v>0</v>
      </c>
      <c r="AE128">
        <v>0</v>
      </c>
    </row>
    <row r="129">
      <c r="A129" t="str">
        <v>호원오토</v>
      </c>
      <c r="B129" t="str">
        <v>GL3</v>
      </c>
      <c r="C129" t="str">
        <v>65175-L8000</v>
      </c>
      <c r="D129" t="str">
        <v>MEMBER ASSY-FR SEAT CRO RR,LH</v>
      </c>
      <c r="E129">
        <v>5198</v>
      </c>
      <c r="F129">
        <v>1980</v>
      </c>
      <c r="G129">
        <v>10292040</v>
      </c>
      <c r="J129" t="str">
        <v>호원오토</v>
      </c>
      <c r="K129" t="str">
        <v>DL3</v>
      </c>
      <c r="L129" t="str">
        <v>65175-L8000</v>
      </c>
      <c r="M129" t="str">
        <v>MEMBER ASSY-FR SEAT CRO RR,LH</v>
      </c>
      <c r="O129">
        <v>5086</v>
      </c>
      <c r="Q129">
        <v>10070280</v>
      </c>
      <c r="T129">
        <v>0</v>
      </c>
      <c r="AC129">
        <v>0</v>
      </c>
      <c r="AE129">
        <v>10070280</v>
      </c>
    </row>
    <row r="130">
      <c r="E130">
        <v>0</v>
      </c>
      <c r="F130">
        <v>0</v>
      </c>
      <c r="G130">
        <v>0</v>
      </c>
      <c r="H130" t="str">
        <v>사급</v>
      </c>
      <c r="J130" t="str">
        <v>세원테크</v>
      </c>
      <c r="K130" t="str">
        <v>DL3</v>
      </c>
      <c r="L130" t="str">
        <v>65176-L1000</v>
      </c>
      <c r="M130" t="str">
        <v>MEMBER ASSY-FR SEAT CRO RR,LH</v>
      </c>
      <c r="N130">
        <v>1</v>
      </c>
      <c r="O130">
        <v>2323</v>
      </c>
      <c r="P130">
        <v>1980</v>
      </c>
      <c r="Q130">
        <v>4599540</v>
      </c>
      <c r="T130">
        <v>0</v>
      </c>
      <c r="AC130">
        <v>0</v>
      </c>
      <c r="AE130">
        <v>4599540</v>
      </c>
    </row>
    <row r="131">
      <c r="E131">
        <v>0</v>
      </c>
      <c r="F131">
        <v>0</v>
      </c>
      <c r="G131">
        <v>0</v>
      </c>
      <c r="H131" t="str">
        <v>협력업체</v>
      </c>
      <c r="I131" t="str">
        <v>협력업체 철판</v>
      </c>
      <c r="J131" t="str">
        <v>제이에스테크</v>
      </c>
      <c r="K131" t="str">
        <v>DL3</v>
      </c>
      <c r="L131" t="str">
        <v>65154-L8000</v>
      </c>
      <c r="M131" t="str">
        <v>BRKT-FR SEAT RR INR MTG,LH</v>
      </c>
      <c r="N131">
        <v>1</v>
      </c>
      <c r="O131">
        <v>986</v>
      </c>
      <c r="P131">
        <v>1980</v>
      </c>
      <c r="Q131">
        <v>1952280</v>
      </c>
      <c r="S131">
        <v>1133.2</v>
      </c>
      <c r="T131">
        <v>759</v>
      </c>
      <c r="U131" t="str">
        <v>SPFC590</v>
      </c>
      <c r="V131">
        <v>1.2</v>
      </c>
      <c r="W131">
        <v>260</v>
      </c>
      <c r="X131">
        <v>275</v>
      </c>
      <c r="Y131">
        <v>1</v>
      </c>
      <c r="Z131">
        <v>7.85</v>
      </c>
      <c r="AA131">
        <v>0.67</v>
      </c>
      <c r="AC131">
        <v>1502820</v>
      </c>
      <c r="AE131">
        <v>449460</v>
      </c>
    </row>
    <row r="132">
      <c r="E132">
        <v>0</v>
      </c>
      <c r="F132">
        <v>0</v>
      </c>
      <c r="G132">
        <v>0</v>
      </c>
      <c r="H132" t="str">
        <v>하드웨어</v>
      </c>
      <c r="J132" t="str">
        <v>삼진스틸</v>
      </c>
      <c r="L132" t="str">
        <v>10216-10000</v>
      </c>
      <c r="M132" t="str">
        <v>NUT-WELD</v>
      </c>
      <c r="N132">
        <v>1</v>
      </c>
      <c r="O132">
        <v>79.5</v>
      </c>
      <c r="P132">
        <v>1980</v>
      </c>
      <c r="Q132">
        <v>157410</v>
      </c>
      <c r="T132">
        <v>0</v>
      </c>
      <c r="AC132">
        <v>0</v>
      </c>
      <c r="AE132">
        <v>157410</v>
      </c>
    </row>
    <row r="133">
      <c r="E133">
        <v>0</v>
      </c>
      <c r="F133">
        <v>0</v>
      </c>
      <c r="G133">
        <v>0</v>
      </c>
      <c r="H133" t="str">
        <v>협력업체</v>
      </c>
      <c r="I133" t="str">
        <v>협력업체 철판</v>
      </c>
      <c r="J133" t="str">
        <v>제이에스테크</v>
      </c>
      <c r="K133" t="str">
        <v>DL3</v>
      </c>
      <c r="L133" t="str">
        <v>65156-L8000</v>
      </c>
      <c r="M133" t="str">
        <v>BRKT-FR SEAT RR OTR MTG,LH</v>
      </c>
      <c r="N133">
        <v>1</v>
      </c>
      <c r="O133">
        <v>1163</v>
      </c>
      <c r="P133">
        <v>1980</v>
      </c>
      <c r="Q133">
        <v>2302740</v>
      </c>
      <c r="S133">
        <v>1133.2</v>
      </c>
      <c r="T133">
        <v>952</v>
      </c>
      <c r="U133" t="str">
        <v>SPFC590</v>
      </c>
      <c r="V133">
        <v>1.2</v>
      </c>
      <c r="W133">
        <v>320</v>
      </c>
      <c r="X133">
        <v>280</v>
      </c>
      <c r="Y133">
        <v>1</v>
      </c>
      <c r="Z133">
        <v>7.85</v>
      </c>
      <c r="AA133">
        <v>0.84</v>
      </c>
      <c r="AC133">
        <v>1884960</v>
      </c>
      <c r="AE133">
        <v>417780</v>
      </c>
    </row>
    <row r="134">
      <c r="E134">
        <v>0</v>
      </c>
      <c r="F134">
        <v>0</v>
      </c>
      <c r="G134">
        <v>0</v>
      </c>
      <c r="H134" t="str">
        <v>하드웨어</v>
      </c>
      <c r="J134" t="str">
        <v>삼진스틸</v>
      </c>
      <c r="L134" t="str">
        <v>10216-10000</v>
      </c>
      <c r="M134" t="str">
        <v>NUT-WELD</v>
      </c>
      <c r="N134">
        <v>1</v>
      </c>
      <c r="O134">
        <v>79.5</v>
      </c>
      <c r="P134">
        <v>1980</v>
      </c>
      <c r="Q134">
        <v>157410</v>
      </c>
      <c r="T134">
        <v>0</v>
      </c>
      <c r="AC134">
        <v>0</v>
      </c>
      <c r="AE134">
        <v>157410</v>
      </c>
    </row>
    <row r="135">
      <c r="E135">
        <v>0</v>
      </c>
      <c r="F135">
        <v>0</v>
      </c>
      <c r="G135">
        <v>0</v>
      </c>
      <c r="H135" t="str">
        <v>사급</v>
      </c>
      <c r="J135" t="str">
        <v>세원테크</v>
      </c>
      <c r="K135" t="str">
        <v>DL3</v>
      </c>
      <c r="L135" t="str">
        <v>651E6-L1000</v>
      </c>
      <c r="M135" t="str">
        <v>REINF-RR SEAT CROSS MBR SD,LH</v>
      </c>
      <c r="N135">
        <v>1</v>
      </c>
      <c r="O135">
        <v>455</v>
      </c>
      <c r="P135">
        <v>1980</v>
      </c>
      <c r="Q135">
        <v>900900</v>
      </c>
      <c r="T135">
        <v>0</v>
      </c>
      <c r="AC135">
        <v>0</v>
      </c>
      <c r="AE135">
        <v>900900</v>
      </c>
    </row>
    <row r="136">
      <c r="A136" t="str">
        <v>호원오토</v>
      </c>
      <c r="B136" t="str">
        <v>GL3</v>
      </c>
      <c r="C136" t="str">
        <v>65185-L8000</v>
      </c>
      <c r="D136" t="str">
        <v>MEMBER ASSY-FR SEAT CRO RR,RH</v>
      </c>
      <c r="E136">
        <v>5196</v>
      </c>
      <c r="F136">
        <v>1980</v>
      </c>
      <c r="G136">
        <v>10288080</v>
      </c>
      <c r="J136" t="str">
        <v>호원오토</v>
      </c>
      <c r="K136" t="str">
        <v>DL3</v>
      </c>
      <c r="L136" t="str">
        <v>65185-L8000</v>
      </c>
      <c r="M136" t="str">
        <v>MEMBER ASSY-FR SEAT CRO RR,RH</v>
      </c>
      <c r="O136">
        <v>5086</v>
      </c>
      <c r="Q136">
        <v>10070280</v>
      </c>
      <c r="T136">
        <v>0</v>
      </c>
      <c r="AC136">
        <v>0</v>
      </c>
      <c r="AE136">
        <v>10070280</v>
      </c>
    </row>
    <row r="137">
      <c r="E137">
        <v>0</v>
      </c>
      <c r="F137">
        <v>0</v>
      </c>
      <c r="G137">
        <v>0</v>
      </c>
      <c r="H137" t="str">
        <v>사급</v>
      </c>
      <c r="J137" t="str">
        <v>세원테크</v>
      </c>
      <c r="K137" t="str">
        <v>DL3</v>
      </c>
      <c r="L137" t="str">
        <v>65186-L1000</v>
      </c>
      <c r="M137" t="str">
        <v>MEMBER ASSY-FR SEAT CRO RR,RH</v>
      </c>
      <c r="N137">
        <v>1</v>
      </c>
      <c r="O137">
        <v>2323</v>
      </c>
      <c r="P137">
        <v>1980</v>
      </c>
      <c r="Q137">
        <v>4599540</v>
      </c>
      <c r="T137">
        <v>0</v>
      </c>
      <c r="AC137">
        <v>0</v>
      </c>
      <c r="AE137">
        <v>4599540</v>
      </c>
    </row>
    <row r="138">
      <c r="E138">
        <v>0</v>
      </c>
      <c r="F138">
        <v>0</v>
      </c>
      <c r="G138">
        <v>0</v>
      </c>
      <c r="H138" t="str">
        <v>협력업체</v>
      </c>
      <c r="I138" t="str">
        <v>협력업체 철판</v>
      </c>
      <c r="J138" t="str">
        <v>제이에스테크</v>
      </c>
      <c r="K138" t="str">
        <v>DL3</v>
      </c>
      <c r="L138" t="str">
        <v>65164-L8000</v>
      </c>
      <c r="M138" t="str">
        <v>BRKT-FR SEAT RR INR MTG,RH</v>
      </c>
      <c r="N138">
        <v>1</v>
      </c>
      <c r="O138">
        <v>986</v>
      </c>
      <c r="P138">
        <v>1980</v>
      </c>
      <c r="Q138">
        <v>1952280</v>
      </c>
      <c r="S138">
        <v>1133.2</v>
      </c>
      <c r="T138">
        <v>759</v>
      </c>
      <c r="U138" t="str">
        <v>SPFC590</v>
      </c>
      <c r="V138">
        <v>1.2</v>
      </c>
      <c r="W138">
        <v>260</v>
      </c>
      <c r="X138">
        <v>275</v>
      </c>
      <c r="Y138">
        <v>1</v>
      </c>
      <c r="Z138">
        <v>7.85</v>
      </c>
      <c r="AA138">
        <v>0.67</v>
      </c>
      <c r="AC138">
        <v>1502820</v>
      </c>
      <c r="AE138">
        <v>449460</v>
      </c>
    </row>
    <row r="139">
      <c r="E139">
        <v>0</v>
      </c>
      <c r="F139">
        <v>0</v>
      </c>
      <c r="G139">
        <v>0</v>
      </c>
      <c r="H139" t="str">
        <v>하드웨어</v>
      </c>
      <c r="J139" t="str">
        <v>삼진스틸</v>
      </c>
      <c r="L139" t="str">
        <v>10216-10000</v>
      </c>
      <c r="M139" t="str">
        <v>NUT-WELD</v>
      </c>
      <c r="N139">
        <v>1</v>
      </c>
      <c r="O139">
        <v>79.5</v>
      </c>
      <c r="P139">
        <v>1980</v>
      </c>
      <c r="Q139">
        <v>157410</v>
      </c>
      <c r="T139">
        <v>0</v>
      </c>
      <c r="AC139">
        <v>0</v>
      </c>
      <c r="AE139">
        <v>157410</v>
      </c>
    </row>
    <row r="140">
      <c r="E140">
        <v>0</v>
      </c>
      <c r="F140">
        <v>0</v>
      </c>
      <c r="G140">
        <v>0</v>
      </c>
      <c r="H140" t="str">
        <v>협력업체</v>
      </c>
      <c r="I140" t="str">
        <v>협력업체 철판</v>
      </c>
      <c r="J140" t="str">
        <v>제이에스테크</v>
      </c>
      <c r="K140" t="str">
        <v>DL3</v>
      </c>
      <c r="L140" t="str">
        <v>65166-L8000</v>
      </c>
      <c r="M140" t="str">
        <v>BRKT-FR SEAT RR OTR MTG,RH</v>
      </c>
      <c r="N140">
        <v>1</v>
      </c>
      <c r="O140">
        <v>1163</v>
      </c>
      <c r="P140">
        <v>1980</v>
      </c>
      <c r="Q140">
        <v>2302740</v>
      </c>
      <c r="S140">
        <v>1133.2</v>
      </c>
      <c r="T140">
        <v>952</v>
      </c>
      <c r="U140" t="str">
        <v>SPFC590</v>
      </c>
      <c r="V140">
        <v>1.2</v>
      </c>
      <c r="W140">
        <v>320</v>
      </c>
      <c r="X140">
        <v>280</v>
      </c>
      <c r="Y140">
        <v>1</v>
      </c>
      <c r="Z140">
        <v>7.85</v>
      </c>
      <c r="AA140">
        <v>0.84</v>
      </c>
      <c r="AC140">
        <v>1884960</v>
      </c>
      <c r="AE140">
        <v>417780</v>
      </c>
    </row>
    <row r="141">
      <c r="E141">
        <v>0</v>
      </c>
      <c r="F141">
        <v>0</v>
      </c>
      <c r="G141">
        <v>0</v>
      </c>
      <c r="H141" t="str">
        <v>하드웨어</v>
      </c>
      <c r="J141" t="str">
        <v>삼진스틸</v>
      </c>
      <c r="L141" t="str">
        <v>10216-10000</v>
      </c>
      <c r="M141" t="str">
        <v>NUT-WELD</v>
      </c>
      <c r="N141">
        <v>1</v>
      </c>
      <c r="O141">
        <v>79.5</v>
      </c>
      <c r="P141">
        <v>1980</v>
      </c>
      <c r="Q141">
        <v>157410</v>
      </c>
      <c r="T141">
        <v>0</v>
      </c>
      <c r="AC141">
        <v>0</v>
      </c>
      <c r="AE141">
        <v>157410</v>
      </c>
    </row>
    <row r="142">
      <c r="E142">
        <v>0</v>
      </c>
      <c r="F142">
        <v>0</v>
      </c>
      <c r="G142">
        <v>0</v>
      </c>
      <c r="H142" t="str">
        <v>사급</v>
      </c>
      <c r="J142" t="str">
        <v>세원테크</v>
      </c>
      <c r="K142" t="str">
        <v>DL3</v>
      </c>
      <c r="L142" t="str">
        <v>651F6-L1000</v>
      </c>
      <c r="M142" t="str">
        <v>REINF-RR SEAT CROSS MBR SD,RH</v>
      </c>
      <c r="N142">
        <v>1</v>
      </c>
      <c r="O142">
        <v>455</v>
      </c>
      <c r="P142">
        <v>1980</v>
      </c>
      <c r="Q142">
        <v>900900</v>
      </c>
      <c r="T142">
        <v>0</v>
      </c>
      <c r="AC142">
        <v>0</v>
      </c>
      <c r="AE142">
        <v>900900</v>
      </c>
    </row>
    <row r="143">
      <c r="A143" t="str">
        <v>호원오토</v>
      </c>
      <c r="B143" t="str">
        <v>GL3</v>
      </c>
      <c r="C143" t="str">
        <v>65170-L8000</v>
      </c>
      <c r="D143" t="str">
        <v>PNL ASSY-SIDE SILL, LH</v>
      </c>
      <c r="E143">
        <v>12207</v>
      </c>
      <c r="F143">
        <v>1980</v>
      </c>
      <c r="G143">
        <v>24169860</v>
      </c>
      <c r="J143" t="str">
        <v>호원오토</v>
      </c>
      <c r="K143" t="str">
        <v>GL3</v>
      </c>
      <c r="L143" t="str">
        <v>65170-L8000</v>
      </c>
      <c r="M143" t="str">
        <v>PNL ASSY-SIDE SILL, LH</v>
      </c>
      <c r="O143">
        <v>12435.699999999999</v>
      </c>
      <c r="Q143">
        <v>24693094.8</v>
      </c>
      <c r="T143">
        <v>0</v>
      </c>
      <c r="AC143">
        <v>0</v>
      </c>
      <c r="AE143">
        <v>24693094.8</v>
      </c>
    </row>
    <row r="144">
      <c r="E144">
        <v>0</v>
      </c>
      <c r="F144">
        <v>0</v>
      </c>
      <c r="G144">
        <v>0</v>
      </c>
      <c r="H144" t="str">
        <v>사급</v>
      </c>
      <c r="J144" t="str">
        <v>현대제철</v>
      </c>
      <c r="K144" t="str">
        <v>GL3</v>
      </c>
      <c r="L144" t="str">
        <v>65172-L8000</v>
      </c>
      <c r="M144" t="str">
        <v>PNL ASSY-SIDE SILL, LH</v>
      </c>
      <c r="N144">
        <v>1</v>
      </c>
      <c r="O144">
        <v>10915</v>
      </c>
      <c r="P144">
        <v>1980</v>
      </c>
      <c r="Q144">
        <v>21611700</v>
      </c>
      <c r="T144">
        <v>0</v>
      </c>
      <c r="AC144">
        <v>0</v>
      </c>
      <c r="AE144">
        <v>21611700</v>
      </c>
    </row>
    <row r="145">
      <c r="E145">
        <v>0</v>
      </c>
      <c r="F145">
        <v>0</v>
      </c>
      <c r="G145">
        <v>0</v>
      </c>
      <c r="H145" t="str">
        <v>하드웨어</v>
      </c>
      <c r="J145" t="str">
        <v>삼진스틸</v>
      </c>
      <c r="L145" t="str">
        <v>19353-07250</v>
      </c>
      <c r="M145" t="str">
        <v>NUT-FLANGE,CAP,WELD</v>
      </c>
      <c r="N145">
        <v>1</v>
      </c>
      <c r="O145">
        <v>181.14</v>
      </c>
      <c r="P145">
        <v>1980</v>
      </c>
      <c r="Q145">
        <v>358657.19999999995</v>
      </c>
      <c r="T145">
        <v>0</v>
      </c>
      <c r="AC145">
        <v>0</v>
      </c>
      <c r="AE145">
        <v>358657.19999999995</v>
      </c>
    </row>
    <row r="146">
      <c r="E146">
        <v>0</v>
      </c>
      <c r="F146">
        <v>0</v>
      </c>
      <c r="G146">
        <v>0</v>
      </c>
      <c r="H146" t="str">
        <v>하드웨어</v>
      </c>
      <c r="J146" t="str">
        <v>대신금속</v>
      </c>
      <c r="L146" t="str">
        <v>12922-06201</v>
      </c>
      <c r="M146" t="str">
        <v>BOLT-WELD(6-POINTS), GUIDE</v>
      </c>
      <c r="N146">
        <v>2</v>
      </c>
      <c r="O146">
        <v>35.56</v>
      </c>
      <c r="P146">
        <v>1980</v>
      </c>
      <c r="Q146">
        <v>140817.6</v>
      </c>
      <c r="T146">
        <v>0</v>
      </c>
      <c r="AC146">
        <v>0</v>
      </c>
      <c r="AE146">
        <v>140817.6</v>
      </c>
    </row>
    <row r="147">
      <c r="E147">
        <v>0</v>
      </c>
      <c r="F147">
        <v>0</v>
      </c>
      <c r="G147">
        <v>0</v>
      </c>
      <c r="H147" t="str">
        <v>사급</v>
      </c>
      <c r="J147" t="str">
        <v>세원테크</v>
      </c>
      <c r="K147" t="str">
        <v>GL3</v>
      </c>
      <c r="L147" t="str">
        <v>65264-D4000</v>
      </c>
      <c r="M147" t="str">
        <v>BRKT-CTR DR SCUFF MTG, LH</v>
      </c>
      <c r="N147">
        <v>1</v>
      </c>
      <c r="O147">
        <v>86</v>
      </c>
      <c r="P147">
        <v>1980</v>
      </c>
      <c r="Q147">
        <v>170280</v>
      </c>
      <c r="T147">
        <v>0</v>
      </c>
      <c r="AC147">
        <v>0</v>
      </c>
      <c r="AE147">
        <v>170280</v>
      </c>
    </row>
    <row r="148">
      <c r="E148">
        <v>0</v>
      </c>
      <c r="F148">
        <v>0</v>
      </c>
      <c r="G148">
        <v>0</v>
      </c>
      <c r="H148" t="str">
        <v>사급</v>
      </c>
      <c r="J148" t="str">
        <v>세원테크</v>
      </c>
      <c r="K148" t="str">
        <v>GL3</v>
      </c>
      <c r="L148" t="str">
        <v>65174-L1000</v>
      </c>
      <c r="M148" t="str">
        <v>REINF-SIDE SILL INR, LH</v>
      </c>
      <c r="N148">
        <v>1</v>
      </c>
      <c r="O148">
        <v>797</v>
      </c>
      <c r="P148">
        <v>1980</v>
      </c>
      <c r="Q148">
        <v>1578060</v>
      </c>
      <c r="T148">
        <v>0</v>
      </c>
      <c r="AC148">
        <v>0</v>
      </c>
      <c r="AE148">
        <v>1578060</v>
      </c>
    </row>
    <row r="149">
      <c r="E149">
        <v>0</v>
      </c>
      <c r="F149">
        <v>0</v>
      </c>
      <c r="G149">
        <v>0</v>
      </c>
      <c r="H149" t="str">
        <v>사급</v>
      </c>
      <c r="J149" t="str">
        <v>세원테크</v>
      </c>
      <c r="K149" t="str">
        <v>GL3</v>
      </c>
      <c r="L149" t="str">
        <v>651E2-L5000</v>
      </c>
      <c r="M149" t="str">
        <v>PATCH-S/SILL INR REINF NO.1, LH</v>
      </c>
      <c r="N149">
        <v>1</v>
      </c>
      <c r="O149">
        <v>351</v>
      </c>
      <c r="P149">
        <v>1980</v>
      </c>
      <c r="Q149">
        <v>694980</v>
      </c>
      <c r="T149">
        <v>0</v>
      </c>
      <c r="AC149">
        <v>0</v>
      </c>
      <c r="AE149">
        <v>694980</v>
      </c>
    </row>
    <row r="150">
      <c r="E150">
        <v>0</v>
      </c>
      <c r="F150">
        <v>0</v>
      </c>
      <c r="G150">
        <v>0</v>
      </c>
      <c r="H150" t="str">
        <v>사급</v>
      </c>
      <c r="J150" t="str">
        <v>세원테크</v>
      </c>
      <c r="K150" t="str">
        <v>GL3</v>
      </c>
      <c r="L150" t="str">
        <v>65264-F6000</v>
      </c>
      <c r="M150" t="str">
        <v>BRKT-CTR DR SCUFF MTG,LH</v>
      </c>
      <c r="N150">
        <v>1</v>
      </c>
      <c r="O150">
        <v>70</v>
      </c>
      <c r="P150">
        <v>1980</v>
      </c>
      <c r="Q150">
        <v>138600</v>
      </c>
      <c r="T150">
        <v>0</v>
      </c>
      <c r="AC150">
        <v>0</v>
      </c>
      <c r="AE150">
        <v>138600</v>
      </c>
    </row>
    <row r="151">
      <c r="A151" t="str">
        <v>호원오토</v>
      </c>
      <c r="B151" t="str">
        <v>GL3</v>
      </c>
      <c r="C151" t="str">
        <v>65180-L8000</v>
      </c>
      <c r="D151" t="str">
        <v>PNL ASSY-SIDE SILL, RH</v>
      </c>
      <c r="E151">
        <v>12206</v>
      </c>
      <c r="F151">
        <v>1980</v>
      </c>
      <c r="G151">
        <v>24167880</v>
      </c>
      <c r="J151" t="str">
        <v>호원오토</v>
      </c>
      <c r="K151" t="str">
        <v>GL3</v>
      </c>
      <c r="L151" t="str">
        <v>65180-L8000</v>
      </c>
      <c r="M151" t="str">
        <v>PNL ASSY-SIDE SILL, RH</v>
      </c>
      <c r="O151">
        <v>12435.699999999999</v>
      </c>
      <c r="Q151">
        <v>24693094.8</v>
      </c>
      <c r="T151">
        <v>0</v>
      </c>
      <c r="AC151">
        <v>0</v>
      </c>
      <c r="AE151">
        <v>24693094.8</v>
      </c>
    </row>
    <row r="152">
      <c r="E152">
        <v>0</v>
      </c>
      <c r="F152">
        <v>0</v>
      </c>
      <c r="G152">
        <v>0</v>
      </c>
      <c r="H152" t="str">
        <v>사급</v>
      </c>
      <c r="J152" t="str">
        <v>현대제철</v>
      </c>
      <c r="K152" t="str">
        <v>GL3</v>
      </c>
      <c r="L152" t="str">
        <v>65182-L8000</v>
      </c>
      <c r="M152" t="str">
        <v>PNL ASSY-SIDE SILL, RH</v>
      </c>
      <c r="N152">
        <v>1</v>
      </c>
      <c r="O152">
        <v>10915</v>
      </c>
      <c r="P152">
        <v>1980</v>
      </c>
      <c r="Q152">
        <v>21611700</v>
      </c>
      <c r="T152">
        <v>0</v>
      </c>
      <c r="AC152">
        <v>0</v>
      </c>
      <c r="AE152">
        <v>21611700</v>
      </c>
    </row>
    <row r="153">
      <c r="E153">
        <v>0</v>
      </c>
      <c r="F153">
        <v>0</v>
      </c>
      <c r="G153">
        <v>0</v>
      </c>
      <c r="H153" t="str">
        <v>하드웨어</v>
      </c>
      <c r="J153" t="str">
        <v>삼진스틸</v>
      </c>
      <c r="L153" t="str">
        <v>19353-07250</v>
      </c>
      <c r="M153" t="str">
        <v>NUT-FLANGE,CAP,WELD</v>
      </c>
      <c r="N153">
        <v>1</v>
      </c>
      <c r="O153">
        <v>181.14</v>
      </c>
      <c r="P153">
        <v>1980</v>
      </c>
      <c r="Q153">
        <v>358657.19999999995</v>
      </c>
      <c r="T153">
        <v>0</v>
      </c>
      <c r="AC153">
        <v>0</v>
      </c>
      <c r="AE153">
        <v>358657.19999999995</v>
      </c>
    </row>
    <row r="154">
      <c r="E154">
        <v>0</v>
      </c>
      <c r="F154">
        <v>0</v>
      </c>
      <c r="G154">
        <v>0</v>
      </c>
      <c r="H154" t="str">
        <v>하드웨어</v>
      </c>
      <c r="J154" t="str">
        <v>대신금속</v>
      </c>
      <c r="L154" t="str">
        <v>12922-06201</v>
      </c>
      <c r="M154" t="str">
        <v>BOLT-WELD(6-POINTS), GUIDE</v>
      </c>
      <c r="N154">
        <v>2</v>
      </c>
      <c r="O154">
        <v>35.56</v>
      </c>
      <c r="P154">
        <v>1980</v>
      </c>
      <c r="Q154">
        <v>140817.6</v>
      </c>
      <c r="T154">
        <v>0</v>
      </c>
      <c r="AC154">
        <v>0</v>
      </c>
      <c r="AE154">
        <v>140817.6</v>
      </c>
    </row>
    <row r="155">
      <c r="E155">
        <v>0</v>
      </c>
      <c r="F155">
        <v>0</v>
      </c>
      <c r="G155">
        <v>0</v>
      </c>
      <c r="H155" t="str">
        <v>사급</v>
      </c>
      <c r="J155" t="str">
        <v>세원테크</v>
      </c>
      <c r="K155" t="str">
        <v>GL3</v>
      </c>
      <c r="L155" t="str">
        <v>65294-D4000</v>
      </c>
      <c r="M155" t="str">
        <v>BRKT-CTR DR SCUFF MTG, LH</v>
      </c>
      <c r="N155">
        <v>1</v>
      </c>
      <c r="O155">
        <v>86</v>
      </c>
      <c r="P155">
        <v>1980</v>
      </c>
      <c r="Q155">
        <v>170280</v>
      </c>
      <c r="T155">
        <v>0</v>
      </c>
      <c r="AC155">
        <v>0</v>
      </c>
      <c r="AE155">
        <v>170280</v>
      </c>
    </row>
    <row r="156">
      <c r="E156">
        <v>0</v>
      </c>
      <c r="F156">
        <v>0</v>
      </c>
      <c r="G156">
        <v>0</v>
      </c>
      <c r="H156" t="str">
        <v>사급</v>
      </c>
      <c r="J156" t="str">
        <v>세원테크</v>
      </c>
      <c r="K156" t="str">
        <v>GL3</v>
      </c>
      <c r="L156" t="str">
        <v>65184-L1000</v>
      </c>
      <c r="M156" t="str">
        <v>REINF-SIDE SILL INR, RH</v>
      </c>
      <c r="N156">
        <v>1</v>
      </c>
      <c r="O156">
        <v>797</v>
      </c>
      <c r="P156">
        <v>1980</v>
      </c>
      <c r="Q156">
        <v>1578060</v>
      </c>
      <c r="T156">
        <v>0</v>
      </c>
      <c r="AC156">
        <v>0</v>
      </c>
      <c r="AE156">
        <v>1578060</v>
      </c>
    </row>
    <row r="157">
      <c r="E157">
        <v>0</v>
      </c>
      <c r="F157">
        <v>0</v>
      </c>
      <c r="G157">
        <v>0</v>
      </c>
      <c r="H157" t="str">
        <v>사급</v>
      </c>
      <c r="J157" t="str">
        <v>세원테크</v>
      </c>
      <c r="K157" t="str">
        <v>GL3</v>
      </c>
      <c r="L157" t="str">
        <v>651F2-L5000</v>
      </c>
      <c r="M157" t="str">
        <v>PATCH-S/SILL INR REINF NO.1, RH</v>
      </c>
      <c r="N157">
        <v>1</v>
      </c>
      <c r="O157">
        <v>351</v>
      </c>
      <c r="P157">
        <v>1980</v>
      </c>
      <c r="Q157">
        <v>694980</v>
      </c>
      <c r="T157">
        <v>0</v>
      </c>
      <c r="AC157">
        <v>0</v>
      </c>
      <c r="AE157">
        <v>694980</v>
      </c>
    </row>
    <row r="158">
      <c r="E158">
        <v>0</v>
      </c>
      <c r="F158">
        <v>0</v>
      </c>
      <c r="G158">
        <v>0</v>
      </c>
      <c r="H158" t="str">
        <v>사급</v>
      </c>
      <c r="J158" t="str">
        <v>세원테크</v>
      </c>
      <c r="K158" t="str">
        <v>GL3</v>
      </c>
      <c r="L158" t="str">
        <v>65264-F6000</v>
      </c>
      <c r="M158" t="str">
        <v>BRKT-CTR DR SCUFF MTG,LH</v>
      </c>
      <c r="N158">
        <v>1</v>
      </c>
      <c r="O158">
        <v>70</v>
      </c>
      <c r="P158">
        <v>1980</v>
      </c>
      <c r="Q158">
        <v>138600</v>
      </c>
      <c r="T158">
        <v>0</v>
      </c>
      <c r="AC158">
        <v>0</v>
      </c>
      <c r="AE158">
        <v>138600</v>
      </c>
    </row>
    <row r="159">
      <c r="A159" t="str">
        <v>호원오토</v>
      </c>
      <c r="B159" t="str">
        <v>GL3</v>
      </c>
      <c r="C159" t="str">
        <v>65115-L3400</v>
      </c>
      <c r="D159" t="str">
        <v>BRKT ASSY PROPELLER SHAFT MTG, LH</v>
      </c>
      <c r="E159">
        <v>2210</v>
      </c>
      <c r="F159">
        <v>3114</v>
      </c>
      <c r="G159">
        <v>6881940</v>
      </c>
      <c r="J159" t="str">
        <v>호원오토</v>
      </c>
      <c r="K159" t="str">
        <v>GL3</v>
      </c>
      <c r="L159" t="str">
        <v>65115-L3400</v>
      </c>
      <c r="M159" t="str">
        <v>BRKT ASSY PROPELLER SHAFT MTG, LH</v>
      </c>
      <c r="O159">
        <v>1784</v>
      </c>
      <c r="Q159">
        <v>5555376</v>
      </c>
      <c r="T159">
        <v>0</v>
      </c>
      <c r="AC159">
        <v>0</v>
      </c>
      <c r="AE159">
        <v>5555376</v>
      </c>
    </row>
    <row r="160">
      <c r="E160">
        <v>0</v>
      </c>
      <c r="F160">
        <v>0</v>
      </c>
      <c r="I160" t="str">
        <v>협력업체 철판</v>
      </c>
      <c r="J160" t="str">
        <v>웅지테크</v>
      </c>
      <c r="K160" t="str">
        <v>GL3</v>
      </c>
      <c r="L160" t="str">
        <v>65116-L3400</v>
      </c>
      <c r="M160" t="str">
        <v>BRKT-PROPELLER SHAFT MTG(AWD)</v>
      </c>
      <c r="N160">
        <v>1</v>
      </c>
      <c r="O160">
        <v>935</v>
      </c>
      <c r="P160">
        <v>3114</v>
      </c>
      <c r="Q160">
        <v>2911590</v>
      </c>
      <c r="S160">
        <v>1109.2</v>
      </c>
      <c r="T160">
        <v>754</v>
      </c>
      <c r="U160" t="str">
        <v>SGACC 60/60</v>
      </c>
      <c r="V160">
        <v>1.2</v>
      </c>
      <c r="W160">
        <v>220</v>
      </c>
      <c r="X160">
        <v>330</v>
      </c>
      <c r="Y160">
        <v>1</v>
      </c>
      <c r="Z160">
        <v>7.85</v>
      </c>
      <c r="AA160">
        <v>0.68</v>
      </c>
      <c r="AC160">
        <v>2347956</v>
      </c>
      <c r="AE160">
        <v>563634</v>
      </c>
    </row>
    <row r="161">
      <c r="E161">
        <v>0</v>
      </c>
      <c r="F161">
        <v>0</v>
      </c>
      <c r="H161" t="str">
        <v>사급</v>
      </c>
      <c r="J161" t="str">
        <v>세원테크</v>
      </c>
      <c r="K161" t="str">
        <v>GL3</v>
      </c>
      <c r="L161" t="str">
        <v>652E6-L3400</v>
      </c>
      <c r="M161" t="str">
        <v>REINF-PROP/SHF MTG,LH</v>
      </c>
      <c r="N161">
        <v>1</v>
      </c>
      <c r="O161">
        <v>375</v>
      </c>
      <c r="P161">
        <v>3114</v>
      </c>
      <c r="Q161">
        <v>1167750</v>
      </c>
      <c r="AC161">
        <v>0</v>
      </c>
      <c r="AE161">
        <v>1167750</v>
      </c>
    </row>
    <row r="162">
      <c r="E162">
        <v>0</v>
      </c>
      <c r="F162">
        <v>0</v>
      </c>
      <c r="H162" t="str">
        <v>하드웨어</v>
      </c>
      <c r="J162" t="str">
        <v>삼진스틸</v>
      </c>
      <c r="L162" t="str">
        <v>13917-10120</v>
      </c>
      <c r="M162" t="str">
        <v>NUT (사1)M10*1.25P*12H</v>
      </c>
      <c r="N162">
        <v>1</v>
      </c>
      <c r="O162">
        <v>49.5</v>
      </c>
      <c r="P162">
        <v>3114</v>
      </c>
      <c r="Q162">
        <v>154143</v>
      </c>
      <c r="AC162">
        <v>0</v>
      </c>
      <c r="AE162">
        <v>154143</v>
      </c>
    </row>
    <row r="163">
      <c r="E163">
        <v>0</v>
      </c>
      <c r="F163">
        <v>0</v>
      </c>
      <c r="H163" t="str">
        <v>사급</v>
      </c>
      <c r="J163" t="str">
        <v>세원테크</v>
      </c>
      <c r="K163" t="str">
        <v>GL3</v>
      </c>
      <c r="L163" t="str">
        <v>652F6-L3400</v>
      </c>
      <c r="M163" t="str">
        <v>REINF-PROP/SHF MTG,RH</v>
      </c>
      <c r="N163">
        <v>1</v>
      </c>
      <c r="O163">
        <v>375</v>
      </c>
      <c r="P163">
        <v>3114</v>
      </c>
      <c r="Q163">
        <v>1167750</v>
      </c>
      <c r="AC163">
        <v>0</v>
      </c>
      <c r="AE163">
        <v>1167750</v>
      </c>
    </row>
    <row r="164">
      <c r="E164">
        <v>0</v>
      </c>
      <c r="F164">
        <v>0</v>
      </c>
      <c r="H164" t="str">
        <v>하드웨어</v>
      </c>
      <c r="J164" t="str">
        <v>삼진스틸</v>
      </c>
      <c r="L164" t="str">
        <v>13917-10120</v>
      </c>
      <c r="M164" t="str">
        <v>NUT (사1)M10*1.25P*12H</v>
      </c>
      <c r="N164">
        <v>1</v>
      </c>
      <c r="O164">
        <v>49.5</v>
      </c>
      <c r="P164">
        <v>3114</v>
      </c>
      <c r="Q164">
        <v>154143</v>
      </c>
      <c r="AC164">
        <v>0</v>
      </c>
      <c r="AE164">
        <v>154143</v>
      </c>
    </row>
    <row r="165">
      <c r="A165" t="str">
        <v>호원오토</v>
      </c>
      <c r="B165" t="str">
        <v>GL3</v>
      </c>
      <c r="C165" t="str">
        <v>65125-L3400</v>
      </c>
      <c r="D165" t="str">
        <v>BRKT ASSY PROPELLER SHAFT MTG, LH</v>
      </c>
      <c r="E165">
        <v>2265</v>
      </c>
      <c r="F165">
        <v>3114</v>
      </c>
      <c r="G165">
        <v>7053210</v>
      </c>
      <c r="J165" t="str">
        <v>호원오토</v>
      </c>
      <c r="K165" t="str">
        <v>GL3</v>
      </c>
      <c r="L165" t="str">
        <v>65125-L3400</v>
      </c>
      <c r="M165" t="str">
        <v>BRKT-PROPELLER SHART MTG RR</v>
      </c>
      <c r="O165">
        <v>1790</v>
      </c>
      <c r="Q165">
        <v>5574060</v>
      </c>
      <c r="AC165">
        <v>0</v>
      </c>
      <c r="AE165">
        <v>5574060</v>
      </c>
    </row>
    <row r="166">
      <c r="E166">
        <v>0</v>
      </c>
      <c r="F166">
        <v>0</v>
      </c>
      <c r="I166" t="str">
        <v>협력업체 철판</v>
      </c>
      <c r="J166" t="str">
        <v>웅지테크</v>
      </c>
      <c r="K166" t="str">
        <v>GL3</v>
      </c>
      <c r="L166" t="str">
        <v>65126-L3400</v>
      </c>
      <c r="M166" t="str">
        <v>BRKT-PROPELLER SHAFT MTG RR(AWD)</v>
      </c>
      <c r="N166">
        <v>1</v>
      </c>
      <c r="O166">
        <v>931</v>
      </c>
      <c r="P166">
        <v>3114</v>
      </c>
      <c r="Q166">
        <v>2899134</v>
      </c>
      <c r="S166">
        <v>1109.2</v>
      </c>
      <c r="T166">
        <v>688</v>
      </c>
      <c r="U166" t="str">
        <v>SGACC 60/60</v>
      </c>
      <c r="V166">
        <v>1.2</v>
      </c>
      <c r="W166">
        <v>200</v>
      </c>
      <c r="X166">
        <v>330</v>
      </c>
      <c r="Y166">
        <v>1</v>
      </c>
      <c r="Z166">
        <v>7.85</v>
      </c>
      <c r="AA166">
        <v>0.62</v>
      </c>
      <c r="AC166">
        <v>2142432</v>
      </c>
      <c r="AE166">
        <v>756702</v>
      </c>
    </row>
    <row r="167">
      <c r="E167">
        <v>0</v>
      </c>
      <c r="F167">
        <v>0</v>
      </c>
      <c r="H167" t="str">
        <v>사급</v>
      </c>
      <c r="J167" t="str">
        <v>세원테크</v>
      </c>
      <c r="K167" t="str">
        <v>GL3</v>
      </c>
      <c r="L167" t="str">
        <v>65282-L3400</v>
      </c>
      <c r="M167" t="str">
        <v>REINF-PROP/SHF MTG,LH</v>
      </c>
      <c r="N167">
        <v>1</v>
      </c>
      <c r="O167">
        <v>380</v>
      </c>
      <c r="P167">
        <v>3114</v>
      </c>
      <c r="Q167">
        <v>1183320</v>
      </c>
      <c r="AC167">
        <v>0</v>
      </c>
      <c r="AE167">
        <v>1183320</v>
      </c>
    </row>
    <row r="168">
      <c r="E168">
        <v>0</v>
      </c>
      <c r="F168">
        <v>0</v>
      </c>
      <c r="H168" t="str">
        <v>하드웨어</v>
      </c>
      <c r="J168" t="str">
        <v>삼진스틸</v>
      </c>
      <c r="L168" t="str">
        <v>13917-10120</v>
      </c>
      <c r="M168" t="str">
        <v>NUT (사1)M10*1.25P*12H</v>
      </c>
      <c r="N168">
        <v>1</v>
      </c>
      <c r="O168">
        <v>49.5</v>
      </c>
      <c r="P168">
        <v>3114</v>
      </c>
      <c r="Q168">
        <v>154143</v>
      </c>
      <c r="AC168">
        <v>0</v>
      </c>
      <c r="AE168">
        <v>154143</v>
      </c>
    </row>
    <row r="169">
      <c r="E169">
        <v>0</v>
      </c>
      <c r="F169">
        <v>0</v>
      </c>
      <c r="H169" t="str">
        <v>사급</v>
      </c>
      <c r="J169" t="str">
        <v>세원테크</v>
      </c>
      <c r="K169" t="str">
        <v>GL3</v>
      </c>
      <c r="L169" t="str">
        <v>65292-L3400</v>
      </c>
      <c r="M169" t="str">
        <v>REINF-PROP/SHF MTG,RH</v>
      </c>
      <c r="N169">
        <v>1</v>
      </c>
      <c r="O169">
        <v>380</v>
      </c>
      <c r="P169">
        <v>3114</v>
      </c>
      <c r="Q169">
        <v>1183320</v>
      </c>
      <c r="AC169">
        <v>0</v>
      </c>
      <c r="AE169">
        <v>1183320</v>
      </c>
    </row>
    <row r="170">
      <c r="E170">
        <v>0</v>
      </c>
      <c r="F170">
        <v>0</v>
      </c>
      <c r="H170" t="str">
        <v>하드웨어</v>
      </c>
      <c r="J170" t="str">
        <v>삼진스틸</v>
      </c>
      <c r="L170" t="str">
        <v>13917-10120</v>
      </c>
      <c r="M170" t="str">
        <v>NUT (사1)M10*1.25P*12H</v>
      </c>
      <c r="N170">
        <v>1</v>
      </c>
      <c r="O170">
        <v>49.5</v>
      </c>
      <c r="P170">
        <v>3114</v>
      </c>
      <c r="Q170">
        <v>154143</v>
      </c>
      <c r="AC170">
        <v>0</v>
      </c>
      <c r="AE170">
        <v>154143</v>
      </c>
    </row>
    <row r="171">
      <c r="A171" t="str">
        <v>호원오토</v>
      </c>
      <c r="B171" t="str">
        <v>MV1a</v>
      </c>
      <c r="C171" t="str">
        <v>69158-DO000</v>
      </c>
      <c r="D171" t="str">
        <v>BRKT-RR BUMPER UPR MTG, LH</v>
      </c>
      <c r="E171">
        <v>481</v>
      </c>
      <c r="G171">
        <v>0</v>
      </c>
      <c r="H171" t="str">
        <v>협력업체</v>
      </c>
      <c r="I171" t="str">
        <v>협력업체 철판</v>
      </c>
      <c r="J171" t="str">
        <v>태영금속</v>
      </c>
      <c r="K171" t="str">
        <v>MV</v>
      </c>
      <c r="L171" t="str">
        <v>69158-DO000</v>
      </c>
      <c r="M171" t="str">
        <v>BRKT-RR BUMPER UPR MTG, LH</v>
      </c>
      <c r="N171">
        <v>1</v>
      </c>
      <c r="O171">
        <v>451</v>
      </c>
      <c r="P171">
        <v>0</v>
      </c>
      <c r="Q171">
        <v>0</v>
      </c>
      <c r="S171">
        <v>1109.2</v>
      </c>
      <c r="T171">
        <v>244</v>
      </c>
      <c r="U171" t="str">
        <v>SGACC</v>
      </c>
      <c r="V171">
        <v>0.9</v>
      </c>
      <c r="W171">
        <v>379</v>
      </c>
      <c r="X171">
        <v>83</v>
      </c>
      <c r="Y171">
        <v>1</v>
      </c>
      <c r="Z171">
        <v>7.85</v>
      </c>
      <c r="AA171">
        <v>0.22</v>
      </c>
      <c r="AC171">
        <v>0</v>
      </c>
      <c r="AE171">
        <v>0</v>
      </c>
    </row>
    <row r="172">
      <c r="A172" t="str">
        <v>호원오토</v>
      </c>
      <c r="B172" t="str">
        <v>MV1a</v>
      </c>
      <c r="C172" t="str">
        <v>69168-DO000</v>
      </c>
      <c r="D172" t="str">
        <v>BRKT-RR BUMPER UPR MTG, LH</v>
      </c>
      <c r="E172">
        <v>481</v>
      </c>
      <c r="G172">
        <v>0</v>
      </c>
      <c r="H172" t="str">
        <v>협력업체</v>
      </c>
      <c r="I172" t="str">
        <v>협력업체 철판</v>
      </c>
      <c r="J172" t="str">
        <v>태영금속</v>
      </c>
      <c r="K172" t="str">
        <v>MV</v>
      </c>
      <c r="L172" t="str">
        <v>69168-DO000</v>
      </c>
      <c r="M172" t="str">
        <v>BRKT-RR BUMPER UPR MTG, LH</v>
      </c>
      <c r="N172">
        <v>1</v>
      </c>
      <c r="O172">
        <v>450</v>
      </c>
      <c r="P172">
        <v>0</v>
      </c>
      <c r="Q172">
        <v>0</v>
      </c>
      <c r="S172">
        <v>1109.2</v>
      </c>
      <c r="T172">
        <v>244</v>
      </c>
      <c r="U172" t="str">
        <v>SGACC</v>
      </c>
      <c r="V172">
        <v>0.9</v>
      </c>
      <c r="W172">
        <v>379</v>
      </c>
      <c r="X172">
        <v>83</v>
      </c>
      <c r="Y172">
        <v>1</v>
      </c>
      <c r="Z172">
        <v>7.85</v>
      </c>
      <c r="AA172">
        <v>0.22</v>
      </c>
      <c r="AC172">
        <v>0</v>
      </c>
      <c r="AE172">
        <v>0</v>
      </c>
    </row>
    <row r="173">
      <c r="A173" t="str">
        <v>호원오토</v>
      </c>
      <c r="B173" t="str">
        <v>MV1a</v>
      </c>
      <c r="C173" t="str">
        <v>69174-DO000</v>
      </c>
      <c r="D173" t="str">
        <v>REINF-RR TRANSVERSE SIDE, LH</v>
      </c>
      <c r="E173">
        <v>0</v>
      </c>
      <c r="G173">
        <v>0</v>
      </c>
      <c r="H173" t="str">
        <v>협력업체</v>
      </c>
      <c r="I173" t="str">
        <v>협력업체 철판</v>
      </c>
      <c r="J173" t="str">
        <v>태영금속</v>
      </c>
      <c r="K173" t="str">
        <v>MV</v>
      </c>
      <c r="L173" t="str">
        <v>69174-DO000</v>
      </c>
      <c r="M173" t="str">
        <v>REINF-RR TRANSVERSE SIDE, LH</v>
      </c>
      <c r="N173">
        <v>1</v>
      </c>
      <c r="O173">
        <v>1203</v>
      </c>
      <c r="P173">
        <v>0</v>
      </c>
      <c r="Q173">
        <v>0</v>
      </c>
      <c r="S173">
        <v>1133.2</v>
      </c>
      <c r="T173">
        <v>1054</v>
      </c>
      <c r="U173" t="str">
        <v>SPFC590</v>
      </c>
      <c r="V173">
        <v>0.75</v>
      </c>
      <c r="W173">
        <v>480</v>
      </c>
      <c r="X173">
        <v>330</v>
      </c>
      <c r="Y173">
        <v>1</v>
      </c>
      <c r="Z173">
        <v>7.85</v>
      </c>
      <c r="AA173">
        <v>0.93</v>
      </c>
      <c r="AC173">
        <v>0</v>
      </c>
      <c r="AE173">
        <v>0</v>
      </c>
    </row>
    <row r="174">
      <c r="A174" t="str">
        <v>호원오토</v>
      </c>
      <c r="B174" t="str">
        <v>MV1a</v>
      </c>
      <c r="C174" t="str">
        <v>69184-DO000</v>
      </c>
      <c r="D174" t="str">
        <v>REINF-RR TRANSVERSE SIDE, RH</v>
      </c>
      <c r="E174">
        <v>0</v>
      </c>
      <c r="G174">
        <v>0</v>
      </c>
      <c r="H174" t="str">
        <v>협력업체</v>
      </c>
      <c r="I174" t="str">
        <v>협력업체 철판</v>
      </c>
      <c r="J174" t="str">
        <v>태영금속</v>
      </c>
      <c r="K174" t="str">
        <v>MV</v>
      </c>
      <c r="L174" t="str">
        <v>69184-DO000</v>
      </c>
      <c r="M174" t="str">
        <v>REINF-RR TRANSVERSE SIDE, RH</v>
      </c>
      <c r="N174">
        <v>1</v>
      </c>
      <c r="O174">
        <v>1203</v>
      </c>
      <c r="P174">
        <v>0</v>
      </c>
      <c r="Q174">
        <v>0</v>
      </c>
      <c r="S174">
        <v>1133.2</v>
      </c>
      <c r="T174">
        <v>1054</v>
      </c>
      <c r="U174" t="str">
        <v>SPFC590</v>
      </c>
      <c r="V174">
        <v>0.75</v>
      </c>
      <c r="W174">
        <v>480</v>
      </c>
      <c r="X174">
        <v>330</v>
      </c>
      <c r="Y174">
        <v>1</v>
      </c>
      <c r="Z174">
        <v>7.85</v>
      </c>
      <c r="AA174">
        <v>0.93</v>
      </c>
      <c r="AC174">
        <v>0</v>
      </c>
      <c r="AE174">
        <v>0</v>
      </c>
    </row>
    <row r="175">
      <c r="A175" t="str">
        <v>호원오토</v>
      </c>
      <c r="B175" t="str">
        <v>MV1a</v>
      </c>
      <c r="C175" t="str">
        <v>69118-DO000</v>
      </c>
      <c r="D175" t="str">
        <v>BRKT-LUGGAGE RR TRIM MTG,LH</v>
      </c>
      <c r="E175">
        <v>174</v>
      </c>
      <c r="G175">
        <v>0</v>
      </c>
      <c r="H175" t="str">
        <v>협력업체</v>
      </c>
      <c r="I175" t="str">
        <v>협력업체 철판</v>
      </c>
      <c r="J175" t="str">
        <v>태영금속</v>
      </c>
      <c r="K175" t="str">
        <v>MV</v>
      </c>
      <c r="L175" t="str">
        <v>69118-DO000</v>
      </c>
      <c r="M175" t="str">
        <v>BRKT-LUGGAGE RR TRIM MTG,LH</v>
      </c>
      <c r="N175">
        <v>2</v>
      </c>
      <c r="O175">
        <v>158</v>
      </c>
      <c r="P175">
        <v>0</v>
      </c>
      <c r="Q175">
        <v>0</v>
      </c>
      <c r="S175">
        <v>1029.2</v>
      </c>
      <c r="T175">
        <v>21</v>
      </c>
      <c r="U175" t="str">
        <v>SPCC</v>
      </c>
      <c r="V175">
        <v>0.6</v>
      </c>
      <c r="W175">
        <v>86</v>
      </c>
      <c r="X175">
        <v>38</v>
      </c>
      <c r="Y175">
        <v>1</v>
      </c>
      <c r="Z175">
        <v>7.85</v>
      </c>
      <c r="AA175">
        <v>0.02</v>
      </c>
      <c r="AC175">
        <v>0</v>
      </c>
      <c r="AE175">
        <v>0</v>
      </c>
    </row>
    <row r="176">
      <c r="A176" t="str">
        <v>호원오토</v>
      </c>
      <c r="B176" t="str">
        <v>MV1a</v>
      </c>
      <c r="C176" t="str">
        <v>69172-DO000</v>
      </c>
      <c r="D176" t="str">
        <v>BULKHEAD-RR TRANSVERSE SIDE,LH</v>
      </c>
      <c r="E176">
        <v>284</v>
      </c>
      <c r="G176">
        <v>0</v>
      </c>
      <c r="H176" t="str">
        <v>협력업체</v>
      </c>
      <c r="I176" t="str">
        <v>협력업체 철판</v>
      </c>
      <c r="J176" t="str">
        <v>제이에스테크</v>
      </c>
      <c r="K176" t="str">
        <v>MV</v>
      </c>
      <c r="L176" t="str">
        <v>69172-DO000</v>
      </c>
      <c r="M176" t="str">
        <v>BULKHEAD-RR TRANSVERSE SIDE,LH</v>
      </c>
      <c r="N176">
        <v>1</v>
      </c>
      <c r="O176">
        <v>266</v>
      </c>
      <c r="P176">
        <v>0</v>
      </c>
      <c r="Q176">
        <v>0</v>
      </c>
      <c r="S176">
        <v>1133.2</v>
      </c>
      <c r="T176">
        <v>136</v>
      </c>
      <c r="U176" t="str">
        <v>SPFC590</v>
      </c>
      <c r="V176">
        <v>0.9</v>
      </c>
      <c r="W176">
        <v>147</v>
      </c>
      <c r="X176">
        <v>236</v>
      </c>
      <c r="Y176">
        <v>2</v>
      </c>
      <c r="Z176">
        <v>7.85</v>
      </c>
      <c r="AA176">
        <v>0.12</v>
      </c>
      <c r="AC176">
        <v>0</v>
      </c>
      <c r="AE176">
        <v>0</v>
      </c>
    </row>
    <row r="177">
      <c r="A177" t="str">
        <v>호원오토</v>
      </c>
      <c r="B177" t="str">
        <v>MV1a</v>
      </c>
      <c r="C177" t="str">
        <v>69182-DO000</v>
      </c>
      <c r="D177" t="str">
        <v>BULKHEAD-RR TRANSVERSE SIDE,RH</v>
      </c>
      <c r="E177">
        <v>284</v>
      </c>
      <c r="G177">
        <v>0</v>
      </c>
      <c r="H177" t="str">
        <v>협력업체</v>
      </c>
      <c r="I177" t="str">
        <v>협력업체 철판</v>
      </c>
      <c r="J177" t="str">
        <v>제이에스테크</v>
      </c>
      <c r="K177" t="str">
        <v>MV</v>
      </c>
      <c r="L177" t="str">
        <v>69182-DO000</v>
      </c>
      <c r="M177" t="str">
        <v>BULKHEAD-RR TRANSVERSE SIDE,RH</v>
      </c>
      <c r="N177">
        <v>1</v>
      </c>
      <c r="O177">
        <v>266</v>
      </c>
      <c r="P177">
        <v>0</v>
      </c>
      <c r="Q177">
        <v>0</v>
      </c>
      <c r="S177">
        <v>1133.2</v>
      </c>
      <c r="T177">
        <v>136</v>
      </c>
      <c r="U177" t="str">
        <v>SPFC590</v>
      </c>
      <c r="V177">
        <v>0.9</v>
      </c>
      <c r="W177">
        <v>147</v>
      </c>
      <c r="X177">
        <v>236</v>
      </c>
      <c r="Y177">
        <v>2</v>
      </c>
      <c r="Z177">
        <v>7.85</v>
      </c>
      <c r="AA177">
        <v>0.12</v>
      </c>
      <c r="AC177">
        <v>0</v>
      </c>
      <c r="AE177">
        <v>0</v>
      </c>
    </row>
    <row r="178">
      <c r="A178" t="str">
        <v>호원오토</v>
      </c>
      <c r="B178" t="str">
        <v>MV1a</v>
      </c>
      <c r="C178" t="str">
        <v>69156-DO000</v>
      </c>
      <c r="D178" t="str">
        <v>BULKHEAD-RR TRANSVERSE, LH</v>
      </c>
      <c r="E178">
        <v>372</v>
      </c>
      <c r="G178">
        <v>0</v>
      </c>
      <c r="H178" t="str">
        <v>협력업체</v>
      </c>
      <c r="I178" t="str">
        <v>협력업체 철판</v>
      </c>
      <c r="J178" t="str">
        <v>제이에스테크</v>
      </c>
      <c r="K178" t="str">
        <v>MV</v>
      </c>
      <c r="L178" t="str">
        <v>69156-DO000</v>
      </c>
      <c r="M178" t="str">
        <v>BULKHEAD-RR TRANSVERSE, LH</v>
      </c>
      <c r="N178">
        <v>1</v>
      </c>
      <c r="O178">
        <v>349</v>
      </c>
      <c r="P178">
        <v>0</v>
      </c>
      <c r="Q178">
        <v>0</v>
      </c>
      <c r="S178">
        <v>1109.2</v>
      </c>
      <c r="T178">
        <v>144</v>
      </c>
      <c r="U178" t="str">
        <v>SGACC</v>
      </c>
      <c r="V178">
        <v>1.2</v>
      </c>
      <c r="W178">
        <v>130</v>
      </c>
      <c r="X178">
        <v>106</v>
      </c>
      <c r="Y178">
        <v>1</v>
      </c>
      <c r="Z178">
        <v>7.85</v>
      </c>
      <c r="AA178">
        <v>0.13</v>
      </c>
      <c r="AC178">
        <v>0</v>
      </c>
      <c r="AE178">
        <v>0</v>
      </c>
    </row>
    <row r="179">
      <c r="A179" t="str">
        <v>호원오토</v>
      </c>
      <c r="B179" t="str">
        <v>MV1a</v>
      </c>
      <c r="C179" t="str">
        <v>69166-DO000</v>
      </c>
      <c r="D179" t="str">
        <v>BULKHEAD-RR TRANSVERSE, LH</v>
      </c>
      <c r="E179">
        <v>372</v>
      </c>
      <c r="F179">
        <v>0</v>
      </c>
      <c r="G179">
        <v>0</v>
      </c>
      <c r="H179" t="str">
        <v>협력업체</v>
      </c>
      <c r="I179" t="str">
        <v>협력업체 철판</v>
      </c>
      <c r="J179" t="str">
        <v>제이에스테크</v>
      </c>
      <c r="K179" t="str">
        <v>MV</v>
      </c>
      <c r="L179" t="str">
        <v>69166-DO000</v>
      </c>
      <c r="M179" t="str">
        <v>BULKHEAD-RR TRANSVERSE, LH</v>
      </c>
      <c r="N179">
        <v>1</v>
      </c>
      <c r="O179">
        <v>349</v>
      </c>
      <c r="P179">
        <v>0</v>
      </c>
      <c r="Q179">
        <v>0</v>
      </c>
      <c r="S179">
        <v>1109.2</v>
      </c>
      <c r="T179">
        <v>144</v>
      </c>
      <c r="U179" t="str">
        <v>SGACC</v>
      </c>
      <c r="V179">
        <v>1.2</v>
      </c>
      <c r="W179">
        <v>130</v>
      </c>
      <c r="X179">
        <v>106</v>
      </c>
      <c r="Y179">
        <v>1</v>
      </c>
      <c r="Z179">
        <v>7.85</v>
      </c>
      <c r="AA179">
        <v>0.13</v>
      </c>
      <c r="AC179">
        <v>0</v>
      </c>
      <c r="AE179">
        <v>0</v>
      </c>
    </row>
    <row r="180">
      <c r="A180" t="str">
        <v>호원오토</v>
      </c>
      <c r="B180" t="str">
        <v>GN7</v>
      </c>
      <c r="C180" t="str">
        <v>65116-L3400</v>
      </c>
      <c r="D180" t="str">
        <v>BRKT-PROPELLER SHAFT MTG(AWD)</v>
      </c>
      <c r="E180">
        <v>1181</v>
      </c>
      <c r="F180">
        <v>484</v>
      </c>
      <c r="G180">
        <v>571604</v>
      </c>
      <c r="H180" t="str">
        <v>협력업체</v>
      </c>
      <c r="I180" t="str">
        <v>협력업체 철판</v>
      </c>
      <c r="J180" t="str">
        <v>웅지테크</v>
      </c>
      <c r="K180" t="str">
        <v>GN7</v>
      </c>
      <c r="L180" t="str">
        <v>65116-L3400</v>
      </c>
      <c r="M180" t="str">
        <v>BRKT-PROPELLER SHAFT MTG(AWD)</v>
      </c>
      <c r="N180">
        <v>1</v>
      </c>
      <c r="O180">
        <v>935</v>
      </c>
      <c r="P180">
        <v>484</v>
      </c>
      <c r="Q180">
        <v>452540</v>
      </c>
      <c r="S180">
        <v>1109.2</v>
      </c>
      <c r="T180">
        <v>754</v>
      </c>
      <c r="U180" t="str">
        <v>SGACC 60/60</v>
      </c>
      <c r="V180">
        <v>1.2</v>
      </c>
      <c r="W180">
        <v>220</v>
      </c>
      <c r="X180">
        <v>330</v>
      </c>
      <c r="Y180">
        <v>1</v>
      </c>
      <c r="Z180">
        <v>7.85</v>
      </c>
      <c r="AA180">
        <v>0.68</v>
      </c>
      <c r="AC180">
        <v>364936</v>
      </c>
      <c r="AE180">
        <v>87604</v>
      </c>
    </row>
    <row r="181">
      <c r="A181" t="str">
        <v>호원오토</v>
      </c>
      <c r="B181" t="str">
        <v>GN7</v>
      </c>
      <c r="C181" t="str">
        <v>65126-L3400</v>
      </c>
      <c r="D181" t="str">
        <v>BRKT-PROPELLER SHAFT MTG RR(AWD)</v>
      </c>
      <c r="E181">
        <v>1139</v>
      </c>
      <c r="F181">
        <v>484</v>
      </c>
      <c r="G181">
        <v>551276</v>
      </c>
      <c r="H181" t="str">
        <v>협력업체</v>
      </c>
      <c r="I181" t="str">
        <v>협력업체 철판</v>
      </c>
      <c r="J181" t="str">
        <v>웅지테크</v>
      </c>
      <c r="K181" t="str">
        <v>GN7</v>
      </c>
      <c r="L181" t="str">
        <v>65126-L3400</v>
      </c>
      <c r="M181" t="str">
        <v>BRKT-PROPELLER SHAFT MTG RR(AWD)</v>
      </c>
      <c r="N181">
        <v>1</v>
      </c>
      <c r="O181">
        <v>931</v>
      </c>
      <c r="P181">
        <v>484</v>
      </c>
      <c r="Q181">
        <v>450604</v>
      </c>
      <c r="S181">
        <v>1109.2</v>
      </c>
      <c r="T181">
        <v>688</v>
      </c>
      <c r="U181" t="str">
        <v>SGACC 60/60</v>
      </c>
      <c r="V181">
        <v>1.2</v>
      </c>
      <c r="W181">
        <v>200</v>
      </c>
      <c r="X181">
        <v>330</v>
      </c>
      <c r="Y181">
        <v>1</v>
      </c>
      <c r="Z181">
        <v>7.85</v>
      </c>
      <c r="AA181">
        <v>0.62</v>
      </c>
      <c r="AC181">
        <v>332992</v>
      </c>
      <c r="AE181">
        <v>117612</v>
      </c>
    </row>
    <row r="182">
      <c r="A182" t="str">
        <v>호원오토</v>
      </c>
      <c r="B182" t="str">
        <v>GN7</v>
      </c>
      <c r="C182" t="str">
        <v>65158-L8000</v>
      </c>
      <c r="D182" t="str">
        <v>REINF-FR SEAT FR OTR MTG,LH</v>
      </c>
      <c r="E182">
        <v>609</v>
      </c>
      <c r="F182">
        <v>7250</v>
      </c>
      <c r="G182">
        <v>4415250</v>
      </c>
      <c r="H182" t="str">
        <v>협력업체</v>
      </c>
      <c r="I182" t="str">
        <v>협력업체 철판</v>
      </c>
      <c r="J182" t="str">
        <v>웅지테크</v>
      </c>
      <c r="K182" t="str">
        <v>GN7</v>
      </c>
      <c r="L182" t="str">
        <v>65158-L8000</v>
      </c>
      <c r="M182" t="str">
        <v>REINF-FR SEAT FR OTR MTG,LH</v>
      </c>
      <c r="N182">
        <v>1</v>
      </c>
      <c r="O182">
        <v>561</v>
      </c>
      <c r="P182">
        <v>7250</v>
      </c>
      <c r="Q182">
        <v>4067250</v>
      </c>
      <c r="S182">
        <v>1194.2</v>
      </c>
      <c r="T182">
        <v>322</v>
      </c>
      <c r="U182" t="str">
        <v>SPFC590DP</v>
      </c>
      <c r="V182">
        <v>1.4</v>
      </c>
      <c r="W182">
        <v>161</v>
      </c>
      <c r="X182">
        <v>310</v>
      </c>
      <c r="Y182">
        <v>2</v>
      </c>
      <c r="Z182">
        <v>7.85</v>
      </c>
      <c r="AA182">
        <v>0.27</v>
      </c>
      <c r="AC182">
        <v>2334500</v>
      </c>
      <c r="AE182">
        <v>1732750</v>
      </c>
    </row>
    <row r="183">
      <c r="A183" t="str">
        <v>호원오토</v>
      </c>
      <c r="B183" t="str">
        <v>GN7</v>
      </c>
      <c r="C183" t="str">
        <v>65168-L8000</v>
      </c>
      <c r="D183" t="str">
        <v>REINF-FR SEAT FR OTR MTG,RH</v>
      </c>
      <c r="E183">
        <v>435</v>
      </c>
      <c r="F183">
        <v>7250</v>
      </c>
      <c r="G183">
        <v>3153750</v>
      </c>
      <c r="H183" t="str">
        <v>협력업체</v>
      </c>
      <c r="I183" t="str">
        <v>협력업체 철판</v>
      </c>
      <c r="J183" t="str">
        <v>웅지테크</v>
      </c>
      <c r="K183" t="str">
        <v>GN7</v>
      </c>
      <c r="L183" t="str">
        <v>65168-L8000</v>
      </c>
      <c r="M183" t="str">
        <v>REINF-FR SEAT FR OTR MTG,RH</v>
      </c>
      <c r="N183">
        <v>1</v>
      </c>
      <c r="O183">
        <v>561</v>
      </c>
      <c r="P183">
        <v>7250</v>
      </c>
      <c r="Q183">
        <v>4067250</v>
      </c>
      <c r="S183">
        <v>1194.2</v>
      </c>
      <c r="T183">
        <v>322</v>
      </c>
      <c r="U183" t="str">
        <v>SPFC590DP</v>
      </c>
      <c r="V183">
        <v>1.4</v>
      </c>
      <c r="W183">
        <v>161</v>
      </c>
      <c r="X183">
        <v>310</v>
      </c>
      <c r="Y183">
        <v>2</v>
      </c>
      <c r="Z183">
        <v>7.85</v>
      </c>
      <c r="AA183">
        <v>0.27</v>
      </c>
      <c r="AC183">
        <v>2334500</v>
      </c>
      <c r="AE183">
        <v>1732750</v>
      </c>
    </row>
    <row r="184">
      <c r="A184" t="str">
        <v>호원오토</v>
      </c>
      <c r="B184" t="str">
        <v>GN7</v>
      </c>
      <c r="C184" t="str">
        <v>651E4-L8000</v>
      </c>
      <c r="D184" t="str">
        <v>REINF-FR SEAT CROSS MBR SD,LH</v>
      </c>
      <c r="E184">
        <v>310</v>
      </c>
      <c r="F184">
        <v>7250</v>
      </c>
      <c r="G184">
        <v>2247500</v>
      </c>
      <c r="H184" t="str">
        <v>협력업체</v>
      </c>
      <c r="I184" t="str">
        <v>협력업체 철판</v>
      </c>
      <c r="J184" t="str">
        <v>웅지테크</v>
      </c>
      <c r="K184" t="str">
        <v>GN7</v>
      </c>
      <c r="L184" t="str">
        <v>651E4-L8000</v>
      </c>
      <c r="M184" t="str">
        <v>REINF-FR SEAT CROSS MBR SD,LH</v>
      </c>
      <c r="N184">
        <v>1</v>
      </c>
      <c r="O184">
        <v>279</v>
      </c>
      <c r="P184">
        <v>7250</v>
      </c>
      <c r="Q184">
        <v>2022750</v>
      </c>
      <c r="S184">
        <v>1343.2</v>
      </c>
      <c r="T184">
        <v>188</v>
      </c>
      <c r="U184" t="str">
        <v>SPFC980Y</v>
      </c>
      <c r="V184">
        <v>0.8</v>
      </c>
      <c r="W184">
        <v>327</v>
      </c>
      <c r="X184">
        <v>135</v>
      </c>
      <c r="Y184">
        <v>2</v>
      </c>
      <c r="Z184">
        <v>7.85</v>
      </c>
      <c r="AA184">
        <v>0.14</v>
      </c>
      <c r="AC184">
        <v>1363000</v>
      </c>
      <c r="AE184">
        <v>659750</v>
      </c>
    </row>
    <row r="185">
      <c r="A185" t="str">
        <v>호원오토</v>
      </c>
      <c r="B185" t="str">
        <v>GN7</v>
      </c>
      <c r="C185" t="str">
        <v>651F4-L8000</v>
      </c>
      <c r="D185" t="str">
        <v>REINF-FR SEAT CROSS MBR SD,RH</v>
      </c>
      <c r="E185">
        <v>303</v>
      </c>
      <c r="F185">
        <v>7250</v>
      </c>
      <c r="G185">
        <v>2196750</v>
      </c>
      <c r="H185" t="str">
        <v>협력업체</v>
      </c>
      <c r="I185" t="str">
        <v>협력업체 철판</v>
      </c>
      <c r="J185" t="str">
        <v>웅지테크</v>
      </c>
      <c r="K185" t="str">
        <v>GN7</v>
      </c>
      <c r="L185" t="str">
        <v>651F4-L8000</v>
      </c>
      <c r="M185" t="str">
        <v>REINF-FR SEAT CROSS MBR SD,RH</v>
      </c>
      <c r="N185">
        <v>1</v>
      </c>
      <c r="O185">
        <v>279</v>
      </c>
      <c r="P185">
        <v>7250</v>
      </c>
      <c r="Q185">
        <v>2022750</v>
      </c>
      <c r="S185">
        <v>1343.2</v>
      </c>
      <c r="T185">
        <v>188</v>
      </c>
      <c r="U185" t="str">
        <v>SPFC980Y</v>
      </c>
      <c r="V185">
        <v>0.8</v>
      </c>
      <c r="W185">
        <v>327</v>
      </c>
      <c r="X185">
        <v>135</v>
      </c>
      <c r="Y185">
        <v>2</v>
      </c>
      <c r="Z185">
        <v>7.85</v>
      </c>
      <c r="AA185">
        <v>0.14</v>
      </c>
      <c r="AC185">
        <v>1363000</v>
      </c>
      <c r="AE185">
        <v>659750</v>
      </c>
    </row>
    <row r="186">
      <c r="A186" t="str">
        <v>호원오토</v>
      </c>
      <c r="B186" t="str">
        <v>GN7</v>
      </c>
      <c r="C186" t="str">
        <v>65278-L8000</v>
      </c>
      <c r="D186" t="str">
        <v>REINF-FR SEAT CRO/MBR INR,LH</v>
      </c>
      <c r="E186">
        <v>223</v>
      </c>
      <c r="F186">
        <v>7250</v>
      </c>
      <c r="G186">
        <v>1616750</v>
      </c>
      <c r="H186" t="str">
        <v>협력업체</v>
      </c>
      <c r="I186" t="str">
        <v>협력업체 철판</v>
      </c>
      <c r="J186" t="str">
        <v>웅지테크</v>
      </c>
      <c r="K186" t="str">
        <v>GN7</v>
      </c>
      <c r="L186" t="str">
        <v>65278-L8000</v>
      </c>
      <c r="M186" t="str">
        <v>REINF-FR SEAT CRO/MBR INR,LH</v>
      </c>
      <c r="N186">
        <v>1</v>
      </c>
      <c r="O186">
        <v>232</v>
      </c>
      <c r="P186">
        <v>7250</v>
      </c>
      <c r="Q186">
        <v>1682000</v>
      </c>
      <c r="S186">
        <v>1343.2</v>
      </c>
      <c r="T186">
        <v>215</v>
      </c>
      <c r="U186" t="str">
        <v>SPFC980Y</v>
      </c>
      <c r="V186">
        <v>0.8</v>
      </c>
      <c r="W186">
        <v>236</v>
      </c>
      <c r="X186">
        <v>105</v>
      </c>
      <c r="Y186">
        <v>1</v>
      </c>
      <c r="Z186">
        <v>7.85</v>
      </c>
      <c r="AA186">
        <v>0.16</v>
      </c>
      <c r="AC186">
        <v>1558750</v>
      </c>
      <c r="AE186">
        <v>123250</v>
      </c>
    </row>
    <row r="187">
      <c r="A187" t="str">
        <v>호원오토</v>
      </c>
      <c r="B187" t="str">
        <v>KA4PE</v>
      </c>
      <c r="C187" t="str">
        <v>728A0-R0500</v>
      </c>
      <c r="D187" t="str">
        <v>REINF-T/GATE G/BPR, LH</v>
      </c>
      <c r="E187">
        <v>638</v>
      </c>
      <c r="F187">
        <v>10200</v>
      </c>
      <c r="G187">
        <v>6507600</v>
      </c>
      <c r="J187" t="str">
        <v>호원오토</v>
      </c>
      <c r="K187" t="str">
        <v>KA4PE</v>
      </c>
      <c r="L187" t="str">
        <v>728A0-R0500</v>
      </c>
      <c r="M187" t="str">
        <v>REINF-T/GATE G/BPR, LH</v>
      </c>
      <c r="O187">
        <v>538.14</v>
      </c>
      <c r="Q187">
        <v>5694456</v>
      </c>
      <c r="T187">
        <v>0</v>
      </c>
      <c r="AC187">
        <v>0</v>
      </c>
      <c r="AE187">
        <v>5694456</v>
      </c>
    </row>
    <row r="188">
      <c r="E188">
        <v>0</v>
      </c>
      <c r="F188">
        <v>0</v>
      </c>
      <c r="G188">
        <v>0</v>
      </c>
      <c r="H188" t="str">
        <v>협력업체</v>
      </c>
      <c r="I188" t="str">
        <v>협력업체 철판</v>
      </c>
      <c r="J188" t="str">
        <v>제이에스테크</v>
      </c>
      <c r="K188" t="str">
        <v>KA4PE</v>
      </c>
      <c r="L188" t="str">
        <v>728A1-R0500</v>
      </c>
      <c r="M188" t="str">
        <v>REINF-T/GATE G/BPR, LH</v>
      </c>
      <c r="N188">
        <v>1</v>
      </c>
      <c r="O188">
        <v>518</v>
      </c>
      <c r="P188">
        <v>10200</v>
      </c>
      <c r="Q188">
        <v>5283600</v>
      </c>
      <c r="S188">
        <v>1013.2</v>
      </c>
      <c r="T188">
        <v>243</v>
      </c>
      <c r="U188" t="str">
        <v>SPCC</v>
      </c>
      <c r="V188">
        <v>1</v>
      </c>
      <c r="W188">
        <v>259</v>
      </c>
      <c r="X188">
        <v>119</v>
      </c>
      <c r="Y188">
        <v>1</v>
      </c>
      <c r="Z188">
        <v>7.85</v>
      </c>
      <c r="AA188">
        <v>0.24</v>
      </c>
      <c r="AC188">
        <v>2478600</v>
      </c>
      <c r="AE188">
        <v>2805000</v>
      </c>
    </row>
    <row r="189">
      <c r="E189">
        <v>0</v>
      </c>
      <c r="F189">
        <v>0</v>
      </c>
      <c r="G189">
        <v>0</v>
      </c>
      <c r="H189" t="str">
        <v>하드웨어</v>
      </c>
      <c r="J189" t="str">
        <v>삼진스틸</v>
      </c>
      <c r="L189" t="str">
        <v>13905-08000</v>
      </c>
      <c r="M189" t="str">
        <v>SQ WD NUT</v>
      </c>
      <c r="N189">
        <v>2</v>
      </c>
      <c r="O189">
        <v>20.14</v>
      </c>
      <c r="P189">
        <v>10200</v>
      </c>
      <c r="Q189">
        <v>410856</v>
      </c>
      <c r="T189">
        <v>0</v>
      </c>
      <c r="AC189">
        <v>0</v>
      </c>
      <c r="AE189">
        <v>410856</v>
      </c>
    </row>
    <row r="190">
      <c r="A190" t="str">
        <v>호원오토</v>
      </c>
      <c r="B190" t="str">
        <v>KA4PE</v>
      </c>
      <c r="C190" t="str">
        <v>728B0-R0500</v>
      </c>
      <c r="D190" t="str">
        <v>REINF-T/GATE G/BPR, RH</v>
      </c>
      <c r="E190">
        <v>638</v>
      </c>
      <c r="F190">
        <v>10200</v>
      </c>
      <c r="G190">
        <v>6507600</v>
      </c>
      <c r="J190" t="str">
        <v>호원오토</v>
      </c>
      <c r="K190" t="str">
        <v>KA4PE</v>
      </c>
      <c r="L190" t="str">
        <v>728B0-R0500</v>
      </c>
      <c r="M190" t="str">
        <v>REINF-T/GATE G/BPR, RH</v>
      </c>
      <c r="O190">
        <v>538.14</v>
      </c>
      <c r="Q190">
        <v>5694456</v>
      </c>
      <c r="T190">
        <v>0</v>
      </c>
      <c r="AC190">
        <v>0</v>
      </c>
      <c r="AE190">
        <v>5694456</v>
      </c>
    </row>
    <row r="191">
      <c r="E191">
        <v>0</v>
      </c>
      <c r="F191">
        <v>0</v>
      </c>
      <c r="G191">
        <v>0</v>
      </c>
      <c r="H191" t="str">
        <v>협력업체</v>
      </c>
      <c r="I191" t="str">
        <v>협력업체 철판</v>
      </c>
      <c r="J191" t="str">
        <v>제이에스테크</v>
      </c>
      <c r="K191" t="str">
        <v>KA4PE</v>
      </c>
      <c r="L191" t="str">
        <v>728B1-R0500</v>
      </c>
      <c r="M191" t="str">
        <v>REINF-T/GATE G/BPR, RH</v>
      </c>
      <c r="N191">
        <v>1</v>
      </c>
      <c r="O191">
        <v>518</v>
      </c>
      <c r="P191">
        <v>10200</v>
      </c>
      <c r="Q191">
        <v>5283600</v>
      </c>
      <c r="S191">
        <v>1013.2</v>
      </c>
      <c r="T191">
        <v>243</v>
      </c>
      <c r="U191" t="str">
        <v>SPCC</v>
      </c>
      <c r="V191">
        <v>1</v>
      </c>
      <c r="W191">
        <v>259</v>
      </c>
      <c r="X191">
        <v>119</v>
      </c>
      <c r="Y191">
        <v>1</v>
      </c>
      <c r="Z191">
        <v>7.85</v>
      </c>
      <c r="AA191">
        <v>0.24</v>
      </c>
      <c r="AC191">
        <v>2478600</v>
      </c>
      <c r="AE191">
        <v>2805000</v>
      </c>
    </row>
    <row r="192">
      <c r="E192">
        <v>0</v>
      </c>
      <c r="F192">
        <v>0</v>
      </c>
      <c r="G192">
        <v>0</v>
      </c>
      <c r="H192" t="str">
        <v>하드웨어</v>
      </c>
      <c r="J192" t="str">
        <v>삼진스틸</v>
      </c>
      <c r="L192" t="str">
        <v>13905-08000</v>
      </c>
      <c r="M192" t="str">
        <v>SQ WD NUT</v>
      </c>
      <c r="N192">
        <v>2</v>
      </c>
      <c r="O192">
        <v>20.14</v>
      </c>
      <c r="P192">
        <v>10200</v>
      </c>
      <c r="Q192">
        <v>410856</v>
      </c>
      <c r="T192">
        <v>0</v>
      </c>
      <c r="AC192">
        <v>0</v>
      </c>
      <c r="AE192">
        <v>410856</v>
      </c>
    </row>
    <row r="193">
      <c r="A193" t="str">
        <v>호원오토</v>
      </c>
      <c r="B193" t="str">
        <v>KA4PE</v>
      </c>
      <c r="C193" t="str">
        <v>72815-R0500</v>
      </c>
      <c r="D193" t="str">
        <v>RAIL-TAILGATE OTR,LH</v>
      </c>
      <c r="E193">
        <v>670</v>
      </c>
      <c r="F193">
        <v>10200</v>
      </c>
      <c r="G193">
        <v>6834000</v>
      </c>
      <c r="J193" t="str">
        <v>호원오토</v>
      </c>
      <c r="K193" t="str">
        <v>KA4PE</v>
      </c>
      <c r="L193" t="str">
        <v>72815-R0500</v>
      </c>
      <c r="M193" t="str">
        <v>RAIL-TAILGATE OTR,LH</v>
      </c>
      <c r="N193">
        <v>1</v>
      </c>
      <c r="O193">
        <v>631</v>
      </c>
      <c r="Q193">
        <v>6579000</v>
      </c>
      <c r="AC193">
        <v>0</v>
      </c>
      <c r="AE193">
        <v>6579000</v>
      </c>
    </row>
    <row r="194">
      <c r="E194">
        <v>0</v>
      </c>
      <c r="F194">
        <v>0</v>
      </c>
      <c r="H194" t="str">
        <v>협력업체</v>
      </c>
      <c r="I194" t="str">
        <v>협력업체 철판</v>
      </c>
      <c r="J194" t="str">
        <v>제이에스테크</v>
      </c>
      <c r="K194" t="str">
        <v>KA4PE</v>
      </c>
      <c r="L194" t="str">
        <v>72815-R0500</v>
      </c>
      <c r="M194" t="str">
        <v>RAIL-TAILGATE OTR,LH</v>
      </c>
      <c r="N194">
        <v>1</v>
      </c>
      <c r="O194">
        <v>645</v>
      </c>
      <c r="P194">
        <v>10200</v>
      </c>
      <c r="Q194">
        <v>6579000</v>
      </c>
      <c r="S194">
        <v>1029.2</v>
      </c>
      <c r="T194">
        <v>515</v>
      </c>
      <c r="U194" t="str">
        <v>SPCC</v>
      </c>
      <c r="V194">
        <v>0.6</v>
      </c>
      <c r="W194">
        <v>278</v>
      </c>
      <c r="X194">
        <v>382</v>
      </c>
      <c r="Y194">
        <v>1</v>
      </c>
      <c r="Z194">
        <v>7.85</v>
      </c>
      <c r="AA194">
        <v>0.5</v>
      </c>
      <c r="AC194">
        <v>5253000</v>
      </c>
      <c r="AE194">
        <v>1326000</v>
      </c>
    </row>
    <row r="195">
      <c r="A195" t="str">
        <v>호원오토</v>
      </c>
      <c r="B195" t="str">
        <v>KA4PE</v>
      </c>
      <c r="C195" t="str">
        <v>72816-R0500</v>
      </c>
      <c r="D195" t="str">
        <v>RAIL-TAILGATE OTR,RH</v>
      </c>
      <c r="E195">
        <v>670</v>
      </c>
      <c r="F195">
        <v>10200</v>
      </c>
      <c r="G195">
        <v>6834000</v>
      </c>
      <c r="J195" t="str">
        <v>호원오토</v>
      </c>
      <c r="K195" t="str">
        <v>KA4PE</v>
      </c>
      <c r="L195" t="str">
        <v>72816-R0500</v>
      </c>
      <c r="M195" t="str">
        <v>RAIL-TAILGATE OTR,RH</v>
      </c>
      <c r="N195">
        <v>1</v>
      </c>
      <c r="O195">
        <v>631</v>
      </c>
      <c r="Q195">
        <v>6579000</v>
      </c>
      <c r="AC195">
        <v>0</v>
      </c>
      <c r="AE195">
        <v>6579000</v>
      </c>
    </row>
    <row r="196">
      <c r="E196">
        <v>0</v>
      </c>
      <c r="F196">
        <v>0</v>
      </c>
      <c r="H196" t="str">
        <v>협력업체</v>
      </c>
      <c r="I196" t="str">
        <v>협력업체 철판</v>
      </c>
      <c r="J196" t="str">
        <v>제이에스테크</v>
      </c>
      <c r="K196" t="str">
        <v>KA4PE</v>
      </c>
      <c r="L196" t="str">
        <v>72816-R0500</v>
      </c>
      <c r="M196" t="str">
        <v>RAIL-TAILGATE OTR,RH</v>
      </c>
      <c r="N196">
        <v>1</v>
      </c>
      <c r="O196">
        <v>645</v>
      </c>
      <c r="P196">
        <v>10200</v>
      </c>
      <c r="Q196">
        <v>6579000</v>
      </c>
      <c r="S196">
        <v>1029.2</v>
      </c>
      <c r="T196">
        <v>515</v>
      </c>
      <c r="U196" t="str">
        <v>SPCC</v>
      </c>
      <c r="V196">
        <v>0.6</v>
      </c>
      <c r="W196">
        <v>278</v>
      </c>
      <c r="X196">
        <v>382</v>
      </c>
      <c r="Y196">
        <v>1</v>
      </c>
      <c r="Z196">
        <v>7.85</v>
      </c>
      <c r="AA196">
        <v>0.5</v>
      </c>
      <c r="AC196">
        <v>5253000</v>
      </c>
      <c r="AE196">
        <v>1326000</v>
      </c>
    </row>
    <row r="197">
      <c r="A197" t="str">
        <v>호원오토</v>
      </c>
      <c r="B197" t="str">
        <v>KA4PE</v>
      </c>
      <c r="C197" t="str">
        <v>81835-R0500</v>
      </c>
      <c r="D197" t="str">
        <v>BRKT-T/GATE LIFTER,LH (일반사양)</v>
      </c>
      <c r="E197">
        <v>609</v>
      </c>
      <c r="F197">
        <v>2040</v>
      </c>
      <c r="G197">
        <v>1242360</v>
      </c>
      <c r="J197" t="str">
        <v>호원오토</v>
      </c>
      <c r="K197" t="str">
        <v>KA4PE</v>
      </c>
      <c r="L197" t="str">
        <v>81836-R0500</v>
      </c>
      <c r="M197" t="str">
        <v>BRKT-T/GATE LIFTER,LH (일반사양)</v>
      </c>
      <c r="O197">
        <v>462.51000000000005</v>
      </c>
      <c r="Q197">
        <v>1308864.0000000002</v>
      </c>
      <c r="T197">
        <v>0</v>
      </c>
      <c r="AC197">
        <v>0</v>
      </c>
      <c r="AE197">
        <v>1308864.0000000002</v>
      </c>
    </row>
    <row r="198">
      <c r="E198">
        <v>0</v>
      </c>
      <c r="F198">
        <v>0</v>
      </c>
      <c r="G198">
        <v>0</v>
      </c>
      <c r="H198" t="str">
        <v>협력업체</v>
      </c>
      <c r="I198" t="str">
        <v>협력업체 철판</v>
      </c>
      <c r="J198" t="str">
        <v>에이오에스</v>
      </c>
      <c r="K198" t="str">
        <v>KA4PE</v>
      </c>
      <c r="L198" t="str">
        <v>81836-R0500</v>
      </c>
      <c r="M198" t="str">
        <v>BRKT-T/GATE LIFTER,LH (일반사양)</v>
      </c>
      <c r="N198">
        <v>1</v>
      </c>
      <c r="O198">
        <v>462.51000000000005</v>
      </c>
      <c r="P198">
        <v>2040</v>
      </c>
      <c r="Q198">
        <v>943520.4000000001</v>
      </c>
      <c r="S198">
        <v>936.2</v>
      </c>
      <c r="T198">
        <v>169</v>
      </c>
      <c r="U198" t="str">
        <v>SAPH440</v>
      </c>
      <c r="V198">
        <v>4</v>
      </c>
      <c r="W198">
        <v>157</v>
      </c>
      <c r="X198">
        <v>73</v>
      </c>
      <c r="Y198">
        <v>2</v>
      </c>
      <c r="Z198">
        <v>7.85</v>
      </c>
      <c r="AA198">
        <v>0.18</v>
      </c>
      <c r="AC198">
        <v>344760</v>
      </c>
      <c r="AE198">
        <v>598760.4000000001</v>
      </c>
    </row>
    <row r="199">
      <c r="E199">
        <v>0</v>
      </c>
      <c r="F199">
        <v>0</v>
      </c>
      <c r="G199">
        <v>0</v>
      </c>
      <c r="H199" t="str">
        <v>사급</v>
      </c>
      <c r="I199" t="str">
        <v>협력업체 철판</v>
      </c>
      <c r="J199" t="str">
        <v>에이오에스</v>
      </c>
      <c r="K199" t="str">
        <v>KA4PE</v>
      </c>
      <c r="L199" t="str">
        <v>81763-1Y000</v>
      </c>
      <c r="M199" t="str">
        <v>BALL JOINT</v>
      </c>
      <c r="N199">
        <v>1</v>
      </c>
      <c r="O199">
        <v>179.09</v>
      </c>
      <c r="P199">
        <v>2040</v>
      </c>
      <c r="Q199">
        <v>365343.60000000003</v>
      </c>
      <c r="T199">
        <v>0</v>
      </c>
      <c r="AC199">
        <v>365343.60000000003</v>
      </c>
      <c r="AE199">
        <v>0</v>
      </c>
    </row>
    <row r="200">
      <c r="A200" t="str">
        <v>호원오토</v>
      </c>
      <c r="B200" t="str">
        <v>KA4PE</v>
      </c>
      <c r="C200" t="str">
        <v>81845-R0500</v>
      </c>
      <c r="D200" t="str">
        <v>BRKT-T/GATE LIFTER,RH (일반사양)</v>
      </c>
      <c r="E200">
        <v>609</v>
      </c>
      <c r="F200">
        <v>2040</v>
      </c>
      <c r="G200">
        <v>1242360</v>
      </c>
      <c r="J200" t="str">
        <v>에이오에스</v>
      </c>
      <c r="K200" t="str">
        <v>KA4PE</v>
      </c>
      <c r="L200" t="str">
        <v>81846-R0500</v>
      </c>
      <c r="M200" t="str">
        <v>BRKT-T/GATE LIFTER,RH (일반사양)</v>
      </c>
      <c r="O200">
        <v>462.51000000000005</v>
      </c>
      <c r="Q200">
        <v>1308864.0000000002</v>
      </c>
      <c r="T200">
        <v>0</v>
      </c>
      <c r="AC200">
        <v>0</v>
      </c>
      <c r="AE200">
        <v>1308864.0000000002</v>
      </c>
    </row>
    <row r="201">
      <c r="E201">
        <v>0</v>
      </c>
      <c r="F201">
        <v>0</v>
      </c>
      <c r="G201">
        <v>0</v>
      </c>
      <c r="H201" t="str">
        <v>협력업체</v>
      </c>
      <c r="I201" t="str">
        <v>협력업체 철판</v>
      </c>
      <c r="J201" t="str">
        <v>에이오에스</v>
      </c>
      <c r="K201" t="str">
        <v>KA4PE</v>
      </c>
      <c r="L201" t="str">
        <v>81846-R0500</v>
      </c>
      <c r="M201" t="str">
        <v>BRKT-T/GATE LIFTER,RH (일반사양)</v>
      </c>
      <c r="N201">
        <v>1</v>
      </c>
      <c r="O201">
        <v>462.51000000000005</v>
      </c>
      <c r="P201">
        <v>2040</v>
      </c>
      <c r="Q201">
        <v>943520.4000000001</v>
      </c>
      <c r="S201">
        <v>936.2</v>
      </c>
      <c r="T201">
        <v>169</v>
      </c>
      <c r="U201" t="str">
        <v>SAPH440</v>
      </c>
      <c r="V201">
        <v>4</v>
      </c>
      <c r="W201">
        <v>157</v>
      </c>
      <c r="X201">
        <v>73</v>
      </c>
      <c r="Y201">
        <v>2</v>
      </c>
      <c r="Z201">
        <v>7.85</v>
      </c>
      <c r="AA201">
        <v>0.18</v>
      </c>
      <c r="AC201">
        <v>344760</v>
      </c>
      <c r="AE201">
        <v>598760.4000000001</v>
      </c>
    </row>
    <row r="202">
      <c r="E202">
        <v>0</v>
      </c>
      <c r="F202">
        <v>0</v>
      </c>
      <c r="G202">
        <v>0</v>
      </c>
      <c r="H202" t="str">
        <v>사급</v>
      </c>
      <c r="I202" t="str">
        <v>협력업체 철판</v>
      </c>
      <c r="J202" t="str">
        <v>에이오에스</v>
      </c>
      <c r="K202" t="str">
        <v>KA4PE</v>
      </c>
      <c r="L202" t="str">
        <v>81763-1Y000</v>
      </c>
      <c r="M202" t="str">
        <v>BALL JOINT</v>
      </c>
      <c r="N202">
        <v>1</v>
      </c>
      <c r="O202">
        <v>179.09</v>
      </c>
      <c r="P202">
        <v>2040</v>
      </c>
      <c r="Q202">
        <v>365343.60000000003</v>
      </c>
      <c r="T202">
        <v>0</v>
      </c>
      <c r="AC202">
        <v>365343.60000000003</v>
      </c>
      <c r="AE202">
        <v>0</v>
      </c>
    </row>
    <row r="203">
      <c r="A203" t="str">
        <v>호원오토</v>
      </c>
      <c r="B203" t="str">
        <v>KA4PE</v>
      </c>
      <c r="C203" t="str">
        <v>81835-R0600</v>
      </c>
      <c r="D203" t="str">
        <v>BRKT-T/GATE LIFTER,LH (파워사양)</v>
      </c>
      <c r="E203">
        <v>671</v>
      </c>
      <c r="F203">
        <v>8160</v>
      </c>
      <c r="G203">
        <v>5475360</v>
      </c>
      <c r="J203" t="str">
        <v>에이오에스</v>
      </c>
      <c r="K203" t="str">
        <v>KA4PE</v>
      </c>
      <c r="L203" t="str">
        <v>81836-R0600</v>
      </c>
      <c r="M203" t="str">
        <v>BRKT-T/GATE LIFTER,LH (파워사양)</v>
      </c>
      <c r="O203">
        <v>575.4200000000001</v>
      </c>
      <c r="Q203">
        <v>7306627.2</v>
      </c>
      <c r="T203">
        <v>0</v>
      </c>
      <c r="AC203">
        <v>0</v>
      </c>
      <c r="AE203">
        <v>7306627.2</v>
      </c>
    </row>
    <row r="204">
      <c r="E204">
        <v>0</v>
      </c>
      <c r="F204">
        <v>0</v>
      </c>
      <c r="G204">
        <v>0</v>
      </c>
      <c r="H204" t="str">
        <v>협력업체</v>
      </c>
      <c r="I204" t="str">
        <v>협력업체 철판</v>
      </c>
      <c r="J204" t="str">
        <v>에이오에스</v>
      </c>
      <c r="K204" t="str">
        <v>KA4PE</v>
      </c>
      <c r="L204" t="str">
        <v>81836-R0600</v>
      </c>
      <c r="M204" t="str">
        <v>BRKT-T/GATE LIFTER,LH (파워사양)</v>
      </c>
      <c r="N204">
        <v>1</v>
      </c>
      <c r="O204">
        <v>575.4200000000001</v>
      </c>
      <c r="P204">
        <v>8160</v>
      </c>
      <c r="Q204">
        <v>4695427.2</v>
      </c>
      <c r="S204">
        <v>936.2</v>
      </c>
      <c r="T204">
        <v>150</v>
      </c>
      <c r="U204" t="str">
        <v>SAPH440</v>
      </c>
      <c r="V204">
        <v>4</v>
      </c>
      <c r="W204">
        <v>142</v>
      </c>
      <c r="X204">
        <v>70</v>
      </c>
      <c r="Y204">
        <v>2</v>
      </c>
      <c r="Z204">
        <v>7.85</v>
      </c>
      <c r="AA204">
        <v>0.16</v>
      </c>
      <c r="AC204">
        <v>1224000</v>
      </c>
      <c r="AE204">
        <v>3471427.2</v>
      </c>
    </row>
    <row r="205">
      <c r="E205">
        <v>0</v>
      </c>
      <c r="F205">
        <v>0</v>
      </c>
      <c r="G205">
        <v>0</v>
      </c>
      <c r="H205" t="str">
        <v>사급</v>
      </c>
      <c r="I205" t="str">
        <v>협력업체 철판</v>
      </c>
      <c r="J205" t="str">
        <v>에이오에스</v>
      </c>
      <c r="K205" t="str">
        <v>KA4PE</v>
      </c>
      <c r="L205" t="str">
        <v>81763-1Y000</v>
      </c>
      <c r="M205" t="str">
        <v>BALL JOINT</v>
      </c>
      <c r="N205">
        <v>1</v>
      </c>
      <c r="O205">
        <v>320</v>
      </c>
      <c r="P205">
        <v>8160</v>
      </c>
      <c r="Q205">
        <v>2611200</v>
      </c>
      <c r="T205">
        <v>0</v>
      </c>
      <c r="AC205">
        <v>2611200</v>
      </c>
      <c r="AE205">
        <v>0</v>
      </c>
    </row>
    <row r="206">
      <c r="A206" t="str">
        <v>호원오토</v>
      </c>
      <c r="B206" t="str">
        <v>KA4PE</v>
      </c>
      <c r="C206" t="str">
        <v>81845-R0600</v>
      </c>
      <c r="D206" t="str">
        <v>BRKT-T/GATE LIFTER,RH (파워사양)</v>
      </c>
      <c r="E206">
        <v>671</v>
      </c>
      <c r="F206">
        <v>8160</v>
      </c>
      <c r="G206">
        <v>5475360</v>
      </c>
      <c r="J206" t="str">
        <v>에이오에스</v>
      </c>
      <c r="K206" t="str">
        <v>KA4PE</v>
      </c>
      <c r="L206" t="str">
        <v>81846-R0600</v>
      </c>
      <c r="M206" t="str">
        <v>BRKT-T/GATE LIFTER,RH (파워사양)</v>
      </c>
      <c r="O206">
        <v>575.4200000000001</v>
      </c>
      <c r="Q206">
        <v>7306627.2</v>
      </c>
      <c r="T206">
        <v>0</v>
      </c>
      <c r="AC206">
        <v>0</v>
      </c>
      <c r="AE206">
        <v>7306627.2</v>
      </c>
    </row>
    <row r="207">
      <c r="E207">
        <v>0</v>
      </c>
      <c r="F207">
        <v>0</v>
      </c>
      <c r="H207" t="str">
        <v>협력업체</v>
      </c>
      <c r="I207" t="str">
        <v>협력업체 철판</v>
      </c>
      <c r="J207" t="str">
        <v>에이오에스</v>
      </c>
      <c r="K207" t="str">
        <v>KA4PE</v>
      </c>
      <c r="L207" t="str">
        <v>81846-R0600</v>
      </c>
      <c r="M207" t="str">
        <v>BRKT-T/GATE LIFTER,RH (파워사양)</v>
      </c>
      <c r="N207">
        <v>1</v>
      </c>
      <c r="O207">
        <v>575.4200000000001</v>
      </c>
      <c r="P207">
        <v>8160</v>
      </c>
      <c r="Q207">
        <v>4695427.2</v>
      </c>
      <c r="S207">
        <v>936.2</v>
      </c>
      <c r="T207">
        <v>150</v>
      </c>
      <c r="U207" t="str">
        <v>SAPH440</v>
      </c>
      <c r="V207">
        <v>4</v>
      </c>
      <c r="W207">
        <v>142</v>
      </c>
      <c r="X207">
        <v>70</v>
      </c>
      <c r="Y207">
        <v>2</v>
      </c>
      <c r="Z207">
        <v>7.85</v>
      </c>
      <c r="AA207">
        <v>0.16</v>
      </c>
      <c r="AC207">
        <v>1224000</v>
      </c>
      <c r="AE207">
        <v>3471427.2</v>
      </c>
    </row>
    <row r="208">
      <c r="E208">
        <v>0</v>
      </c>
      <c r="F208">
        <v>0</v>
      </c>
      <c r="H208" t="str">
        <v>사급</v>
      </c>
      <c r="I208" t="str">
        <v>협력업체 철판</v>
      </c>
      <c r="J208" t="str">
        <v>에이오에스</v>
      </c>
      <c r="K208" t="str">
        <v>KA4PE</v>
      </c>
      <c r="L208" t="str">
        <v>81763-1Y000</v>
      </c>
      <c r="M208" t="str">
        <v>BALL JOINT</v>
      </c>
      <c r="N208">
        <v>1</v>
      </c>
      <c r="O208">
        <v>320</v>
      </c>
      <c r="P208">
        <v>8160</v>
      </c>
      <c r="Q208">
        <v>2611200</v>
      </c>
      <c r="T208">
        <v>0</v>
      </c>
      <c r="AC208">
        <v>2611200</v>
      </c>
      <c r="AE208">
        <v>0</v>
      </c>
    </row>
    <row r="209">
      <c r="A209" t="str">
        <v>호원오토</v>
      </c>
      <c r="B209" t="str">
        <v>SV</v>
      </c>
      <c r="C209" t="str">
        <v>69100-EV000</v>
      </c>
      <c r="D209" t="str">
        <v>PNL ASSY-BACK COMPL</v>
      </c>
      <c r="E209">
        <v>12953</v>
      </c>
      <c r="F209">
        <v>9800</v>
      </c>
      <c r="G209">
        <v>126939400</v>
      </c>
      <c r="J209" t="str">
        <v>호원오토</v>
      </c>
      <c r="K209" t="str">
        <v>SV</v>
      </c>
      <c r="L209" t="str">
        <v>69100-EV000</v>
      </c>
      <c r="M209" t="str">
        <v>PNL ASSY-BACK COMPL</v>
      </c>
      <c r="O209">
        <v>9063.788</v>
      </c>
      <c r="Q209">
        <v>93164444.8</v>
      </c>
      <c r="AC209">
        <v>0</v>
      </c>
      <c r="AE209">
        <v>93164444.8</v>
      </c>
    </row>
    <row r="210">
      <c r="H210" t="str">
        <v>태창금속</v>
      </c>
      <c r="J210" t="str">
        <v>태창금속</v>
      </c>
      <c r="K210" t="str">
        <v>SV</v>
      </c>
      <c r="L210" t="str">
        <v>69112-EV000</v>
      </c>
      <c r="M210" t="str">
        <v>PNL-BACK</v>
      </c>
      <c r="N210">
        <v>1</v>
      </c>
      <c r="O210">
        <v>5091</v>
      </c>
      <c r="P210">
        <v>9800</v>
      </c>
      <c r="Q210">
        <v>49891800</v>
      </c>
      <c r="S210">
        <v>1167.6</v>
      </c>
      <c r="T210">
        <v>5091</v>
      </c>
      <c r="U210" t="str">
        <v>SGARC340 60/60</v>
      </c>
      <c r="V210">
        <v>0.6</v>
      </c>
      <c r="W210">
        <v>1610</v>
      </c>
      <c r="X210">
        <v>575</v>
      </c>
      <c r="Y210">
        <v>1</v>
      </c>
      <c r="Z210">
        <v>7.85</v>
      </c>
      <c r="AA210">
        <v>4.36</v>
      </c>
      <c r="AC210">
        <v>49891800</v>
      </c>
      <c r="AE210">
        <v>0</v>
      </c>
      <c r="AF210" t="str">
        <v>스크랩금액</v>
      </c>
      <c r="AG210">
        <v>9800</v>
      </c>
      <c r="AH210">
        <v>2.2192</v>
      </c>
      <c r="AI210">
        <v>362</v>
      </c>
      <c r="AJ210">
        <v>7872833.92</v>
      </c>
    </row>
    <row r="211">
      <c r="G211">
        <v>873231286</v>
      </c>
      <c r="H211" t="str">
        <v>태창금속</v>
      </c>
      <c r="J211" t="str">
        <v>태창금속</v>
      </c>
      <c r="K211" t="str">
        <v>SV</v>
      </c>
      <c r="L211" t="str">
        <v>69122-EV000</v>
      </c>
      <c r="M211" t="str">
        <v>MBR-RR TRANSVERSE</v>
      </c>
      <c r="N211">
        <v>1</v>
      </c>
      <c r="O211">
        <v>2255</v>
      </c>
      <c r="P211">
        <v>9800</v>
      </c>
      <c r="Q211">
        <v>22099000</v>
      </c>
      <c r="S211">
        <v>1266.6</v>
      </c>
      <c r="T211">
        <v>2255</v>
      </c>
      <c r="U211" t="str">
        <v>SGAFC590DP</v>
      </c>
      <c r="V211">
        <v>0.6</v>
      </c>
      <c r="W211">
        <v>920</v>
      </c>
      <c r="X211">
        <v>410</v>
      </c>
      <c r="Y211">
        <v>1</v>
      </c>
      <c r="Z211">
        <v>7.85</v>
      </c>
      <c r="AA211">
        <v>1.78</v>
      </c>
      <c r="AC211">
        <v>22099000</v>
      </c>
      <c r="AE211">
        <v>0</v>
      </c>
      <c r="AF211" t="str">
        <v>스크랩금액</v>
      </c>
      <c r="AG211">
        <v>9800</v>
      </c>
      <c r="AH211">
        <v>1.0292</v>
      </c>
      <c r="AI211">
        <v>362</v>
      </c>
      <c r="AJ211">
        <v>3651189.92</v>
      </c>
    </row>
    <row r="212">
      <c r="H212" t="str">
        <v>사급</v>
      </c>
      <c r="J212" t="str">
        <v>아신금속</v>
      </c>
      <c r="L212" t="str">
        <v>64372-1F000</v>
      </c>
      <c r="M212" t="str">
        <v>STUD-GUIDE,WELD</v>
      </c>
      <c r="N212">
        <v>2</v>
      </c>
      <c r="O212">
        <v>14.32</v>
      </c>
      <c r="P212">
        <v>9800</v>
      </c>
      <c r="Q212">
        <v>280672</v>
      </c>
      <c r="AC212">
        <v>0</v>
      </c>
      <c r="AE212">
        <v>280672</v>
      </c>
    </row>
    <row r="213">
      <c r="H213" t="str">
        <v>사급</v>
      </c>
      <c r="J213" t="str">
        <v>아신금속</v>
      </c>
      <c r="L213" t="str">
        <v>64372-1R000</v>
      </c>
      <c r="M213" t="str">
        <v>STUD-GUIDE,WELD</v>
      </c>
      <c r="N213">
        <v>2</v>
      </c>
      <c r="O213">
        <v>19.078</v>
      </c>
      <c r="P213">
        <v>9800</v>
      </c>
      <c r="Q213">
        <v>373928.8</v>
      </c>
      <c r="AC213">
        <v>0</v>
      </c>
      <c r="AE213">
        <v>373928.8</v>
      </c>
      <c r="AJ213">
        <v>14292460.832</v>
      </c>
    </row>
    <row r="214">
      <c r="H214" t="str">
        <v>사급</v>
      </c>
      <c r="J214" t="str">
        <v>호원사급</v>
      </c>
      <c r="K214" t="str">
        <v>SV</v>
      </c>
      <c r="L214" t="str">
        <v>69146-AT000</v>
      </c>
      <c r="M214" t="str">
        <v>BRKT-RR BUMPER UPR CTR MTG,LH</v>
      </c>
      <c r="N214">
        <v>2</v>
      </c>
      <c r="O214">
        <v>392</v>
      </c>
      <c r="P214">
        <v>9800</v>
      </c>
      <c r="Q214">
        <v>7683200</v>
      </c>
      <c r="AC214">
        <v>0</v>
      </c>
      <c r="AE214">
        <v>7683200</v>
      </c>
    </row>
    <row r="215">
      <c r="H215" t="str">
        <v>사급</v>
      </c>
      <c r="J215" t="str">
        <v>아신금속</v>
      </c>
      <c r="L215" t="str">
        <v>12904-06101</v>
      </c>
      <c r="M215" t="str">
        <v>WELD BOLT</v>
      </c>
      <c r="N215">
        <v>2</v>
      </c>
      <c r="O215">
        <v>17.39</v>
      </c>
      <c r="P215">
        <v>9800</v>
      </c>
      <c r="Q215">
        <v>340844</v>
      </c>
      <c r="AC215">
        <v>0</v>
      </c>
      <c r="AE215">
        <v>340844</v>
      </c>
    </row>
    <row r="216">
      <c r="H216" t="str">
        <v>사급</v>
      </c>
      <c r="J216" t="str">
        <v>호원사급</v>
      </c>
      <c r="K216" t="str">
        <v>SV</v>
      </c>
      <c r="L216" t="str">
        <v>69138-EV000</v>
      </c>
      <c r="M216" t="str">
        <v>EXTN-RR TRANSVERSE,LH</v>
      </c>
      <c r="N216">
        <v>1</v>
      </c>
      <c r="O216">
        <v>0</v>
      </c>
      <c r="P216">
        <v>9800</v>
      </c>
      <c r="Q216">
        <v>0</v>
      </c>
      <c r="AC216">
        <v>0</v>
      </c>
      <c r="AE216">
        <v>0</v>
      </c>
    </row>
    <row r="217">
      <c r="H217" t="str">
        <v>사급</v>
      </c>
      <c r="J217" t="str">
        <v>호원사급</v>
      </c>
      <c r="K217" t="str">
        <v>SV</v>
      </c>
      <c r="L217" t="str">
        <v>69148-EV000</v>
      </c>
      <c r="M217" t="str">
        <v>EXTN-RR TRANSVERSE,RH</v>
      </c>
      <c r="N217">
        <v>1</v>
      </c>
      <c r="O217">
        <v>0</v>
      </c>
      <c r="P217">
        <v>9800</v>
      </c>
      <c r="Q217">
        <v>0</v>
      </c>
      <c r="AC217">
        <v>0</v>
      </c>
      <c r="AE217">
        <v>0</v>
      </c>
    </row>
    <row r="218">
      <c r="H218" t="str">
        <v>협력업체</v>
      </c>
      <c r="I218" t="str">
        <v>협력업체 철판</v>
      </c>
      <c r="J218" t="str">
        <v>제이에스테크</v>
      </c>
      <c r="K218" t="str">
        <v>SV</v>
      </c>
      <c r="L218" t="str">
        <v>69156-EV000</v>
      </c>
      <c r="M218" t="str">
        <v>B/HEAD-RR TRANSVESE,LH</v>
      </c>
      <c r="N218">
        <v>1</v>
      </c>
      <c r="O218">
        <v>328</v>
      </c>
      <c r="P218">
        <v>9800</v>
      </c>
      <c r="Q218">
        <v>3214400</v>
      </c>
      <c r="S218">
        <v>1060.2</v>
      </c>
      <c r="T218">
        <v>170</v>
      </c>
      <c r="U218" t="str">
        <v>SPRC340</v>
      </c>
      <c r="V218">
        <v>0.9</v>
      </c>
      <c r="W218">
        <v>124</v>
      </c>
      <c r="X218">
        <v>186</v>
      </c>
      <c r="Y218">
        <v>1</v>
      </c>
      <c r="Z218">
        <v>7.85</v>
      </c>
      <c r="AA218">
        <v>0.16</v>
      </c>
      <c r="AC218">
        <v>1666000</v>
      </c>
      <c r="AE218">
        <v>1548400</v>
      </c>
    </row>
    <row r="219">
      <c r="H219" t="str">
        <v>사급</v>
      </c>
      <c r="J219" t="str">
        <v>호원사급</v>
      </c>
      <c r="L219" t="str">
        <v>84191-A7500</v>
      </c>
      <c r="M219" t="str">
        <v>PAD</v>
      </c>
      <c r="N219">
        <v>1</v>
      </c>
      <c r="O219">
        <v>38</v>
      </c>
      <c r="P219">
        <v>9800</v>
      </c>
      <c r="Q219">
        <v>372400</v>
      </c>
      <c r="AC219">
        <v>0</v>
      </c>
      <c r="AE219">
        <v>372400</v>
      </c>
    </row>
    <row r="220">
      <c r="H220" t="str">
        <v>협력업체</v>
      </c>
      <c r="I220" t="str">
        <v>협력업체 철판</v>
      </c>
      <c r="J220" t="str">
        <v>제이에스테크</v>
      </c>
      <c r="K220" t="str">
        <v>SV</v>
      </c>
      <c r="L220" t="str">
        <v>69166-EV000</v>
      </c>
      <c r="M220" t="str">
        <v>B/HEAD-RR TRANSVESE,RH</v>
      </c>
      <c r="N220">
        <v>1</v>
      </c>
      <c r="O220">
        <v>328</v>
      </c>
      <c r="P220">
        <v>9800</v>
      </c>
      <c r="Q220">
        <v>3214400</v>
      </c>
      <c r="S220">
        <v>1060.2</v>
      </c>
      <c r="T220">
        <v>170</v>
      </c>
      <c r="U220" t="str">
        <v>SPRC340</v>
      </c>
      <c r="V220">
        <v>0.9</v>
      </c>
      <c r="W220">
        <v>124</v>
      </c>
      <c r="X220">
        <v>186</v>
      </c>
      <c r="Y220">
        <v>1</v>
      </c>
      <c r="Z220">
        <v>7.85</v>
      </c>
      <c r="AA220">
        <v>0.16</v>
      </c>
      <c r="AC220">
        <v>1666000</v>
      </c>
      <c r="AE220">
        <v>1548400</v>
      </c>
    </row>
    <row r="221">
      <c r="H221" t="str">
        <v>사급</v>
      </c>
      <c r="J221" t="str">
        <v>호원사급</v>
      </c>
      <c r="L221" t="str">
        <v>84191-A7500</v>
      </c>
      <c r="M221" t="str">
        <v>PAD</v>
      </c>
      <c r="N221">
        <v>1</v>
      </c>
      <c r="O221">
        <v>38</v>
      </c>
      <c r="P221">
        <v>9800</v>
      </c>
      <c r="Q221">
        <v>372400</v>
      </c>
      <c r="AC221">
        <v>0</v>
      </c>
      <c r="AE221">
        <v>372400</v>
      </c>
    </row>
    <row r="222">
      <c r="H222" t="str">
        <v>협력업체</v>
      </c>
      <c r="I222" t="str">
        <v>협력업체 철판</v>
      </c>
      <c r="J222" t="str">
        <v>제이에스테크</v>
      </c>
      <c r="K222" t="str">
        <v>SV</v>
      </c>
      <c r="L222" t="str">
        <v>69139-EV000</v>
      </c>
      <c r="M222" t="str">
        <v>BRKT-WIRING MTG</v>
      </c>
      <c r="N222">
        <v>1</v>
      </c>
      <c r="O222">
        <v>59</v>
      </c>
      <c r="P222">
        <v>9800</v>
      </c>
      <c r="Q222">
        <v>578200</v>
      </c>
      <c r="S222">
        <v>1109.2</v>
      </c>
      <c r="T222">
        <v>44</v>
      </c>
      <c r="U222" t="str">
        <v>SGACC</v>
      </c>
      <c r="V222">
        <v>1.6</v>
      </c>
      <c r="W222">
        <v>113</v>
      </c>
      <c r="X222">
        <v>26</v>
      </c>
      <c r="Y222">
        <v>1</v>
      </c>
      <c r="Z222">
        <v>7.85</v>
      </c>
      <c r="AA222">
        <v>0.04</v>
      </c>
      <c r="AC222">
        <v>431200</v>
      </c>
      <c r="AE222">
        <v>147000</v>
      </c>
    </row>
    <row r="223">
      <c r="H223" t="str">
        <v>협력업체</v>
      </c>
      <c r="I223" t="str">
        <v>협력업체 철판</v>
      </c>
      <c r="J223" t="str">
        <v>제이에스테크</v>
      </c>
      <c r="K223" t="str">
        <v>SV</v>
      </c>
      <c r="L223" t="str">
        <v>69116-EV000</v>
      </c>
      <c r="M223" t="str">
        <v>REINF-TRUNK LID STRIKER</v>
      </c>
      <c r="N223">
        <v>1</v>
      </c>
      <c r="O223">
        <v>484</v>
      </c>
      <c r="P223">
        <v>9800</v>
      </c>
      <c r="Q223">
        <v>4743200</v>
      </c>
      <c r="S223">
        <v>1256.2</v>
      </c>
      <c r="T223">
        <v>239</v>
      </c>
      <c r="U223" t="str">
        <v>SGAFC590</v>
      </c>
      <c r="V223">
        <v>1</v>
      </c>
      <c r="W223">
        <v>221</v>
      </c>
      <c r="X223">
        <v>111</v>
      </c>
      <c r="Y223">
        <v>1</v>
      </c>
      <c r="Z223">
        <v>7.85</v>
      </c>
      <c r="AA223">
        <v>0.19</v>
      </c>
      <c r="AC223">
        <v>2342200</v>
      </c>
      <c r="AE223">
        <v>2401000</v>
      </c>
    </row>
    <row r="224">
      <c r="Q224">
        <v>1503607100.2399998</v>
      </c>
    </row>
    <row r="225">
      <c r="Q225">
        <v>759186122.1199999</v>
      </c>
    </row>
    <row r="227">
      <c r="J227" t="str">
        <v>태창금속</v>
      </c>
      <c r="K227">
        <v>87816720</v>
      </c>
    </row>
    <row r="228">
      <c r="J228" t="str">
        <v>사급</v>
      </c>
      <c r="K228">
        <v>559521800</v>
      </c>
    </row>
    <row r="229">
      <c r="J229" t="str">
        <v>협력업체</v>
      </c>
      <c r="K229">
        <v>85953682.2</v>
      </c>
      <c r="AC229">
        <v>30237280</v>
      </c>
    </row>
    <row r="230">
      <c r="J230" t="str">
        <v>협력업체 철판</v>
      </c>
      <c r="K230">
        <v>97717493.4</v>
      </c>
    </row>
    <row r="231">
      <c r="J231" t="str">
        <v>하드웨어</v>
      </c>
      <c r="K231">
        <v>20083195.92</v>
      </c>
    </row>
    <row r="232">
      <c r="K232">
        <v>851092891.52</v>
      </c>
    </row>
    <row r="793">
      <c r="J793" t="str">
        <v>호원오토</v>
      </c>
      <c r="L793" t="str">
        <v>69100-DO000</v>
      </c>
      <c r="N793" t="str">
        <v>21,204</v>
      </c>
    </row>
    <row r="794">
      <c r="J794" t="str">
        <v>제이에스테크</v>
      </c>
      <c r="L794" t="str">
        <v>69174-DO000</v>
      </c>
      <c r="N794" t="str">
        <v>1,203</v>
      </c>
      <c r="S794">
        <v>1133.2</v>
      </c>
    </row>
    <row r="795">
      <c r="J795" t="str">
        <v>제이에스테크</v>
      </c>
      <c r="L795" t="str">
        <v>69184-DO000</v>
      </c>
      <c r="N795" t="str">
        <v>1,203</v>
      </c>
      <c r="S795">
        <v>1133.2</v>
      </c>
    </row>
    <row r="796">
      <c r="J796" t="str">
        <v>제이에스테크</v>
      </c>
      <c r="L796" t="str">
        <v>69118-DO000</v>
      </c>
      <c r="N796" t="str">
        <v>158</v>
      </c>
      <c r="S796">
        <v>1029.2</v>
      </c>
    </row>
    <row r="797">
      <c r="J797" t="str">
        <v>신성테크</v>
      </c>
      <c r="L797" t="str">
        <v>69116-DO000</v>
      </c>
      <c r="N797" t="str">
        <v>529</v>
      </c>
      <c r="S797">
        <v>1256.2</v>
      </c>
    </row>
    <row r="798">
      <c r="J798" t="str">
        <v>제이에스테크</v>
      </c>
      <c r="L798" t="str">
        <v>69158-DO000</v>
      </c>
      <c r="N798" t="str">
        <v>451</v>
      </c>
      <c r="S798">
        <v>1174.2</v>
      </c>
    </row>
    <row r="799">
      <c r="J799" t="str">
        <v>제이에스테크</v>
      </c>
      <c r="L799" t="str">
        <v>69168-DO000</v>
      </c>
      <c r="N799" t="str">
        <v>450</v>
      </c>
      <c r="S799">
        <v>1174.2</v>
      </c>
    </row>
    <row r="800">
      <c r="J800" t="str">
        <v>호원오토</v>
      </c>
      <c r="L800" t="str">
        <v>65131-L1000</v>
      </c>
      <c r="N800" t="str">
        <v>4,710</v>
      </c>
    </row>
    <row r="801">
      <c r="J801" t="str">
        <v>아신금속</v>
      </c>
      <c r="L801" t="str">
        <v>12900-06140</v>
      </c>
      <c r="N801" t="str">
        <v>16</v>
      </c>
    </row>
    <row r="802">
      <c r="J802" t="str">
        <v>아신금속</v>
      </c>
      <c r="L802" t="str">
        <v>12900-06180</v>
      </c>
      <c r="N802" t="str">
        <v>18</v>
      </c>
    </row>
    <row r="803">
      <c r="J803" t="str">
        <v>호원오토</v>
      </c>
      <c r="L803" t="str">
        <v>65131-L2500</v>
      </c>
      <c r="N803" t="str">
        <v>5,438</v>
      </c>
    </row>
    <row r="804">
      <c r="J804" t="str">
        <v>아신금속</v>
      </c>
      <c r="L804" t="str">
        <v>12900-06140</v>
      </c>
      <c r="N804" t="str">
        <v>16</v>
      </c>
    </row>
    <row r="805">
      <c r="J805" t="str">
        <v>아신금속</v>
      </c>
      <c r="L805" t="str">
        <v>12900-06180</v>
      </c>
      <c r="N805" t="str">
        <v>18</v>
      </c>
    </row>
    <row r="806">
      <c r="J806" t="str">
        <v>호원사급</v>
      </c>
      <c r="L806" t="str">
        <v>65136-L8000</v>
      </c>
      <c r="N806" t="str">
        <v>205</v>
      </c>
      <c r="S806">
        <v>1013.2</v>
      </c>
    </row>
    <row r="807">
      <c r="J807" t="str">
        <v>호원오토</v>
      </c>
      <c r="L807" t="str">
        <v>65131-L2800</v>
      </c>
      <c r="N807" t="str">
        <v>6,073</v>
      </c>
    </row>
    <row r="808">
      <c r="J808" t="str">
        <v>아신금속</v>
      </c>
      <c r="L808" t="str">
        <v>12900-06140</v>
      </c>
      <c r="N808" t="str">
        <v>16</v>
      </c>
    </row>
    <row r="809">
      <c r="J809" t="str">
        <v>아신금속</v>
      </c>
      <c r="L809" t="str">
        <v>12900-06180</v>
      </c>
      <c r="N809" t="str">
        <v>18</v>
      </c>
    </row>
    <row r="810">
      <c r="J810" t="str">
        <v>호원오토</v>
      </c>
      <c r="L810" t="str">
        <v>65151-L1000</v>
      </c>
      <c r="N810" t="str">
        <v>3,687</v>
      </c>
    </row>
    <row r="811">
      <c r="J811" t="str">
        <v>호원오토</v>
      </c>
      <c r="L811" t="str">
        <v>65161-L1000</v>
      </c>
      <c r="N811" t="str">
        <v>3,697</v>
      </c>
    </row>
    <row r="812">
      <c r="J812" t="str">
        <v>호원오토</v>
      </c>
      <c r="L812" t="str">
        <v>65175-L1000</v>
      </c>
      <c r="N812" t="str">
        <v>5,253</v>
      </c>
    </row>
    <row r="813">
      <c r="J813" t="str">
        <v>호원오토</v>
      </c>
      <c r="L813" t="str">
        <v>65185-L1000</v>
      </c>
      <c r="N813" t="str">
        <v>5,253</v>
      </c>
    </row>
    <row r="814">
      <c r="J814" t="str">
        <v>호원오토</v>
      </c>
      <c r="L814" t="str">
        <v>65170-L2000</v>
      </c>
      <c r="N814" t="str">
        <v>10,957</v>
      </c>
    </row>
    <row r="815">
      <c r="J815" t="str">
        <v>아신금속</v>
      </c>
      <c r="L815" t="str">
        <v>12922-06201</v>
      </c>
      <c r="N815" t="str">
        <v>36</v>
      </c>
    </row>
    <row r="816">
      <c r="J816" t="str">
        <v>호원오토</v>
      </c>
      <c r="L816" t="str">
        <v>65180-L2000</v>
      </c>
      <c r="N816" t="str">
        <v>10,957</v>
      </c>
    </row>
    <row r="817">
      <c r="J817" t="str">
        <v>아신금속</v>
      </c>
      <c r="L817" t="str">
        <v>12922-06201</v>
      </c>
      <c r="N817" t="str">
        <v>36</v>
      </c>
    </row>
    <row r="818">
      <c r="J818" t="str">
        <v>호원오토</v>
      </c>
      <c r="L818" t="str">
        <v>65131-L8000</v>
      </c>
      <c r="N818" t="str">
        <v>5,350</v>
      </c>
    </row>
    <row r="819">
      <c r="J819" t="str">
        <v>아신금속</v>
      </c>
      <c r="L819" t="str">
        <v>12900-06140</v>
      </c>
      <c r="N819" t="str">
        <v>16</v>
      </c>
    </row>
    <row r="820">
      <c r="J820" t="str">
        <v>아신금속</v>
      </c>
      <c r="L820" t="str">
        <v>12900-06180</v>
      </c>
      <c r="N820" t="str">
        <v>18</v>
      </c>
    </row>
    <row r="821">
      <c r="J821" t="str">
        <v>호원사급</v>
      </c>
      <c r="L821" t="str">
        <v>65136-L8000</v>
      </c>
      <c r="N821" t="str">
        <v>205</v>
      </c>
      <c r="S821">
        <v>1013.2</v>
      </c>
    </row>
    <row r="822">
      <c r="J822" t="str">
        <v>호원오토</v>
      </c>
      <c r="L822" t="str">
        <v>65131-L8400</v>
      </c>
      <c r="N822" t="str">
        <v>5,378</v>
      </c>
    </row>
    <row r="823">
      <c r="J823" t="str">
        <v>아신금속</v>
      </c>
      <c r="L823" t="str">
        <v>12900-06140</v>
      </c>
      <c r="N823" t="str">
        <v>16</v>
      </c>
    </row>
    <row r="824">
      <c r="J824" t="str">
        <v>아신금속</v>
      </c>
      <c r="L824" t="str">
        <v>12900-06180</v>
      </c>
      <c r="N824" t="str">
        <v>18</v>
      </c>
    </row>
    <row r="825">
      <c r="J825" t="str">
        <v>호원사급</v>
      </c>
      <c r="L825" t="str">
        <v>651M7-L8400</v>
      </c>
      <c r="N825" t="str">
        <v>370</v>
      </c>
      <c r="S825">
        <v>1013.2</v>
      </c>
    </row>
    <row r="826">
      <c r="J826" t="str">
        <v>호원사급</v>
      </c>
      <c r="L826" t="str">
        <v>65136-L8400</v>
      </c>
      <c r="N826" t="str">
        <v>335</v>
      </c>
      <c r="S826">
        <v>1013.2</v>
      </c>
    </row>
    <row r="827">
      <c r="J827" t="str">
        <v>호원오토</v>
      </c>
      <c r="L827" t="str">
        <v>65151-L8000</v>
      </c>
      <c r="N827" t="str">
        <v>2,519</v>
      </c>
    </row>
    <row r="828">
      <c r="J828" t="str">
        <v>호원사급</v>
      </c>
      <c r="L828" t="str">
        <v>65158-L8000</v>
      </c>
      <c r="N828" t="str">
        <v>561</v>
      </c>
      <c r="S828">
        <v>1194.2</v>
      </c>
    </row>
    <row r="829">
      <c r="J829" t="str">
        <v>호원사급</v>
      </c>
      <c r="L829" t="str">
        <v>651E3-L8000</v>
      </c>
      <c r="N829" t="str">
        <v>1</v>
      </c>
      <c r="S829">
        <v>1343.2</v>
      </c>
    </row>
    <row r="830">
      <c r="J830" t="str">
        <v>호원사급</v>
      </c>
      <c r="L830" t="str">
        <v>65278-L8000</v>
      </c>
      <c r="N830" t="str">
        <v>232</v>
      </c>
      <c r="S830">
        <v>1343.2</v>
      </c>
    </row>
    <row r="831">
      <c r="J831" t="str">
        <v>호원오토</v>
      </c>
      <c r="L831" t="str">
        <v>65161-L8000</v>
      </c>
      <c r="N831" t="str">
        <v>2,530</v>
      </c>
    </row>
    <row r="832">
      <c r="J832" t="str">
        <v>호원사급</v>
      </c>
      <c r="L832" t="str">
        <v>65168-L8000</v>
      </c>
      <c r="N832" t="str">
        <v>561</v>
      </c>
      <c r="S832">
        <v>1194.2</v>
      </c>
    </row>
    <row r="833">
      <c r="J833" t="str">
        <v>호원사급</v>
      </c>
      <c r="L833" t="str">
        <v>651F3-L8000</v>
      </c>
      <c r="N833" t="str">
        <v>1</v>
      </c>
      <c r="S833">
        <v>1343.2</v>
      </c>
    </row>
    <row r="834">
      <c r="J834" t="str">
        <v>하드웨어</v>
      </c>
      <c r="L834" t="str">
        <v>10216-10000</v>
      </c>
      <c r="N834" t="str">
        <v>80</v>
      </c>
    </row>
    <row r="835">
      <c r="J835" t="str">
        <v>호원오토</v>
      </c>
      <c r="L835" t="str">
        <v>65175-L8000</v>
      </c>
      <c r="N835" t="str">
        <v>5,071</v>
      </c>
    </row>
    <row r="836">
      <c r="J836" t="str">
        <v>호원오토</v>
      </c>
      <c r="L836" t="str">
        <v>65185-L8000</v>
      </c>
      <c r="N836" t="str">
        <v>5,071</v>
      </c>
    </row>
    <row r="837">
      <c r="J837" t="str">
        <v>호원오토</v>
      </c>
      <c r="L837" t="str">
        <v>65170-L8000</v>
      </c>
      <c r="N837" t="str">
        <v>12,436</v>
      </c>
    </row>
    <row r="838">
      <c r="J838" t="str">
        <v>아신금속</v>
      </c>
      <c r="L838" t="str">
        <v>12922-06201</v>
      </c>
      <c r="N838" t="str">
        <v>36</v>
      </c>
    </row>
    <row r="839">
      <c r="J839" t="str">
        <v>호원오토</v>
      </c>
      <c r="L839" t="str">
        <v>65180-L8000</v>
      </c>
      <c r="N839" t="str">
        <v>12,436</v>
      </c>
    </row>
    <row r="840">
      <c r="J840" t="str">
        <v>아신금속</v>
      </c>
      <c r="L840" t="str">
        <v>12922-06201</v>
      </c>
      <c r="N840" t="str">
        <v>36</v>
      </c>
    </row>
    <row r="841">
      <c r="J841" t="str">
        <v>호원오토</v>
      </c>
      <c r="L841" t="str">
        <v>65115-L3400</v>
      </c>
      <c r="N841" t="str">
        <v>849</v>
      </c>
    </row>
    <row r="842">
      <c r="J842" t="str">
        <v>호원사급</v>
      </c>
      <c r="L842" t="str">
        <v>65116-L3400</v>
      </c>
      <c r="N842" t="str">
        <v>935</v>
      </c>
      <c r="S842">
        <v>1109.2</v>
      </c>
    </row>
    <row r="843">
      <c r="J843" t="str">
        <v>호원오토</v>
      </c>
      <c r="L843" t="str">
        <v>65125-L3400</v>
      </c>
      <c r="N843" t="str">
        <v>859</v>
      </c>
    </row>
    <row r="844">
      <c r="J844" t="str">
        <v>호원사급</v>
      </c>
      <c r="L844" t="str">
        <v>65126-L3400</v>
      </c>
      <c r="N844" t="str">
        <v>931</v>
      </c>
      <c r="S844">
        <v>1109.2</v>
      </c>
    </row>
    <row r="845">
      <c r="J845" t="str">
        <v>제이에스테크</v>
      </c>
      <c r="L845" t="str">
        <v>69158-DO000</v>
      </c>
      <c r="N845" t="str">
        <v>451</v>
      </c>
      <c r="S845">
        <v>1174.2</v>
      </c>
    </row>
    <row r="846">
      <c r="J846" t="str">
        <v>제이에스테크</v>
      </c>
      <c r="L846" t="str">
        <v>69168-DO000</v>
      </c>
      <c r="N846" t="str">
        <v>450</v>
      </c>
      <c r="S846">
        <v>1174.2</v>
      </c>
    </row>
    <row r="847">
      <c r="J847" t="str">
        <v>제이에스테크</v>
      </c>
      <c r="L847" t="str">
        <v>69174-DO000</v>
      </c>
      <c r="N847" t="str">
        <v>1,203</v>
      </c>
      <c r="S847">
        <v>1133.2</v>
      </c>
    </row>
    <row r="848">
      <c r="J848" t="str">
        <v>제이에스테크</v>
      </c>
      <c r="L848" t="str">
        <v>69184-DO000</v>
      </c>
      <c r="N848" t="str">
        <v>1,203</v>
      </c>
      <c r="S848">
        <v>1133.2</v>
      </c>
    </row>
    <row r="849">
      <c r="J849" t="str">
        <v>제이에스테크</v>
      </c>
      <c r="L849" t="str">
        <v>69118-DO000</v>
      </c>
      <c r="N849" t="str">
        <v>158</v>
      </c>
      <c r="S849">
        <v>1029.2</v>
      </c>
    </row>
    <row r="850">
      <c r="J850" t="str">
        <v>호원사급</v>
      </c>
      <c r="L850" t="str">
        <v>65116-L3400</v>
      </c>
      <c r="N850" t="str">
        <v>935</v>
      </c>
      <c r="S850">
        <v>1109.2</v>
      </c>
    </row>
    <row r="851">
      <c r="J851" t="str">
        <v>호원사급</v>
      </c>
      <c r="L851" t="str">
        <v>65126-L3400</v>
      </c>
      <c r="N851" t="str">
        <v>931</v>
      </c>
      <c r="S851">
        <v>1109.2</v>
      </c>
    </row>
    <row r="852">
      <c r="J852" t="str">
        <v>호원사급</v>
      </c>
      <c r="L852" t="str">
        <v>65158-L8000</v>
      </c>
      <c r="N852" t="str">
        <v>561</v>
      </c>
      <c r="S852">
        <v>1194.2</v>
      </c>
    </row>
    <row r="853">
      <c r="J853" t="str">
        <v>호원사급</v>
      </c>
      <c r="L853" t="str">
        <v>65168-L8000</v>
      </c>
      <c r="N853" t="str">
        <v>561</v>
      </c>
      <c r="S853">
        <v>1194.2</v>
      </c>
    </row>
    <row r="854">
      <c r="J854" t="str">
        <v>호원사급</v>
      </c>
      <c r="L854" t="str">
        <v>651E4-L8000</v>
      </c>
      <c r="N854" t="str">
        <v>279</v>
      </c>
      <c r="S854">
        <v>1343.2</v>
      </c>
    </row>
    <row r="855">
      <c r="J855" t="str">
        <v>호원사급</v>
      </c>
      <c r="L855" t="str">
        <v>651F4-L8000</v>
      </c>
      <c r="N855" t="str">
        <v>279</v>
      </c>
      <c r="S855">
        <v>1343.2</v>
      </c>
    </row>
    <row r="856">
      <c r="J856" t="str">
        <v>호원사급</v>
      </c>
      <c r="L856" t="str">
        <v>65278-L8000</v>
      </c>
      <c r="N856" t="str">
        <v>232</v>
      </c>
      <c r="S856">
        <v>1343.2</v>
      </c>
    </row>
    <row r="857">
      <c r="J857" t="str">
        <v>호원오토</v>
      </c>
      <c r="L857" t="str">
        <v>728A0-R0500</v>
      </c>
      <c r="N857" t="str">
        <v>538</v>
      </c>
    </row>
    <row r="858">
      <c r="J858" t="str">
        <v>호원오토</v>
      </c>
      <c r="L858" t="str">
        <v>728B0-R0500</v>
      </c>
      <c r="N858" t="str">
        <v>538</v>
      </c>
    </row>
    <row r="859">
      <c r="J859" t="str">
        <v>호원오토</v>
      </c>
      <c r="L859" t="str">
        <v>81836-R0500</v>
      </c>
      <c r="N859" t="str">
        <v>463</v>
      </c>
    </row>
    <row r="860">
      <c r="J860" t="str">
        <v>신성테크</v>
      </c>
      <c r="L860" t="str">
        <v>81836-R0500</v>
      </c>
      <c r="N860" t="str">
        <v>463</v>
      </c>
      <c r="S860">
        <v>936.2</v>
      </c>
    </row>
    <row r="861">
      <c r="J861" t="str">
        <v>신성테크</v>
      </c>
      <c r="L861" t="str">
        <v>81763-1Y000</v>
      </c>
      <c r="N861" t="str">
        <v>320</v>
      </c>
    </row>
    <row r="862">
      <c r="J862" t="str">
        <v>신성테크</v>
      </c>
      <c r="L862" t="str">
        <v>81846-R0500</v>
      </c>
      <c r="N862" t="str">
        <v>463</v>
      </c>
    </row>
    <row r="863">
      <c r="J863" t="str">
        <v>신성테크</v>
      </c>
      <c r="L863" t="str">
        <v>81763-1Y000</v>
      </c>
      <c r="N863" t="str">
        <v>320</v>
      </c>
    </row>
    <row r="864">
      <c r="J864" t="str">
        <v>신성테크</v>
      </c>
      <c r="L864" t="str">
        <v>81836-R0600</v>
      </c>
      <c r="N864" t="str">
        <v>575</v>
      </c>
    </row>
    <row r="865">
      <c r="J865" t="str">
        <v>신성테크</v>
      </c>
      <c r="L865" t="str">
        <v>81763-1Y000</v>
      </c>
      <c r="N865" t="str">
        <v>320</v>
      </c>
    </row>
    <row r="866">
      <c r="J866" t="str">
        <v>신성테크</v>
      </c>
      <c r="L866" t="str">
        <v>81846-R0600</v>
      </c>
      <c r="N866" t="str">
        <v>575</v>
      </c>
    </row>
    <row r="867">
      <c r="J867" t="str">
        <v>신성테크</v>
      </c>
      <c r="L867" t="str">
        <v>81763-1Y000</v>
      </c>
      <c r="N867" t="str">
        <v>320</v>
      </c>
    </row>
    <row r="868">
      <c r="J868" t="str">
        <v>호원오토</v>
      </c>
      <c r="L868" t="str">
        <v>69100-EV000</v>
      </c>
      <c r="N868" t="str">
        <v>9,064</v>
      </c>
    </row>
  </sheetData>
  <ignoredErrors>
    <ignoredError numberStoredAsText="1" sqref="A1:AJ868"/>
  </ignoredErrors>
</worksheet>
</file>

<file path=xl/worksheets/sheet5.xml><?xml version="1.0" encoding="utf-8"?>
<worksheet xmlns="http://schemas.openxmlformats.org/spreadsheetml/2006/main" xmlns:r="http://schemas.openxmlformats.org/officeDocument/2006/relationships">
  <dimension ref="A1:AJ962"/>
  <sheetViews>
    <sheetView workbookViewId="0" rightToLeft="0"/>
  </sheetViews>
  <sheetData>
    <row r="1">
      <c r="AI1">
        <v>362</v>
      </c>
    </row>
    <row r="3">
      <c r="N3">
        <v>14.5</v>
      </c>
    </row>
    <row r="5">
      <c r="E5">
        <v>10</v>
      </c>
    </row>
    <row r="6">
      <c r="A6" t="str">
        <v>납품처</v>
      </c>
      <c r="B6" t="str">
        <v>차종</v>
      </c>
      <c r="C6" t="str">
        <v>품번</v>
      </c>
      <c r="D6" t="str">
        <v>품명</v>
      </c>
      <c r="E6" t="str">
        <v>단가</v>
      </c>
      <c r="F6" t="str">
        <v>마감수량</v>
      </c>
      <c r="G6" t="str">
        <v>마감금액</v>
      </c>
      <c r="J6" t="str">
        <v>구매처</v>
      </c>
      <c r="K6" t="str">
        <v>차종</v>
      </c>
      <c r="L6" t="str">
        <v>품번</v>
      </c>
      <c r="M6" t="str">
        <v>품명</v>
      </c>
      <c r="N6" t="str">
        <v>소요량</v>
      </c>
      <c r="O6" t="str">
        <v>단가</v>
      </c>
      <c r="Q6" t="str">
        <v>구매금액</v>
      </c>
      <c r="R6" t="str">
        <v>비고</v>
      </c>
      <c r="S6" t="str">
        <v>KG단가</v>
      </c>
      <c r="T6" t="str">
        <v>단품단가</v>
      </c>
      <c r="U6" t="str">
        <v>재질</v>
      </c>
      <c r="V6" t="str">
        <v>두께</v>
      </c>
      <c r="W6" t="str">
        <v>폭</v>
      </c>
      <c r="X6" t="str">
        <v>길이</v>
      </c>
      <c r="Y6" t="str">
        <v>SEP</v>
      </c>
      <c r="Z6" t="str">
        <v>비중</v>
      </c>
      <c r="AA6" t="str">
        <v>EA중량</v>
      </c>
      <c r="AG6" t="str">
        <v>실적수량</v>
      </c>
      <c r="AH6" t="str">
        <v>스크랩중량</v>
      </c>
      <c r="AI6" t="str">
        <v>스크랩 단가</v>
      </c>
    </row>
    <row r="7">
      <c r="A7" t="str">
        <v>인알파코리아</v>
      </c>
      <c r="B7" t="str">
        <v>KA4 RR</v>
      </c>
      <c r="C7" t="str">
        <v>50007278B</v>
      </c>
      <c r="D7" t="str">
        <v>MIDDLE BEAM</v>
      </c>
      <c r="E7">
        <v>2854.5809523809526</v>
      </c>
      <c r="F7">
        <v>7015</v>
      </c>
      <c r="G7">
        <v>20024885.38095238</v>
      </c>
      <c r="J7" t="str">
        <v>인알파코리아</v>
      </c>
      <c r="K7" t="str">
        <v>KA4 RR</v>
      </c>
      <c r="L7" t="str">
        <v>50007278B</v>
      </c>
      <c r="M7" t="str">
        <v>MIDDLE BEAM</v>
      </c>
      <c r="O7">
        <v>2631</v>
      </c>
    </row>
    <row r="8">
      <c r="E8">
        <v>0</v>
      </c>
      <c r="F8">
        <v>0</v>
      </c>
      <c r="G8">
        <v>0</v>
      </c>
      <c r="H8" t="str">
        <v>협력업체 철판</v>
      </c>
      <c r="I8" t="str">
        <v>협력업체</v>
      </c>
      <c r="J8" t="str">
        <v>창경에스테크</v>
      </c>
      <c r="K8" t="str">
        <v>YP</v>
      </c>
      <c r="L8" t="str">
        <v>50007278B</v>
      </c>
      <c r="M8" t="str">
        <v>MIDDLE BEAM</v>
      </c>
      <c r="N8">
        <v>1</v>
      </c>
      <c r="O8">
        <v>2631</v>
      </c>
      <c r="P8">
        <v>7015</v>
      </c>
      <c r="Q8">
        <v>18456465</v>
      </c>
      <c r="S8">
        <v>1033.6</v>
      </c>
      <c r="T8">
        <v>1488</v>
      </c>
      <c r="U8" t="str">
        <v>SPCC</v>
      </c>
      <c r="V8">
        <v>0.8</v>
      </c>
      <c r="W8">
        <v>1040</v>
      </c>
      <c r="X8">
        <v>220</v>
      </c>
      <c r="Y8">
        <v>1</v>
      </c>
      <c r="Z8">
        <v>7.85</v>
      </c>
      <c r="AA8">
        <v>1.44</v>
      </c>
      <c r="AC8">
        <v>10438320</v>
      </c>
      <c r="AE8">
        <v>8018145</v>
      </c>
    </row>
    <row r="9">
      <c r="A9" t="str">
        <v>인알파코리아</v>
      </c>
      <c r="B9" t="str">
        <v>KA4-RR</v>
      </c>
      <c r="C9" t="str">
        <v>50007300D</v>
      </c>
      <c r="D9" t="str">
        <v>GLASS PANEL REINFORCEMENT</v>
      </c>
      <c r="E9">
        <v>7908.1421372270315</v>
      </c>
      <c r="F9">
        <v>7015</v>
      </c>
      <c r="G9">
        <v>55475617.09264763</v>
      </c>
      <c r="J9" t="str">
        <v>인알파코리아</v>
      </c>
      <c r="K9" t="str">
        <v>KA4-RR</v>
      </c>
      <c r="L9" t="str">
        <v>50007300D</v>
      </c>
      <c r="M9" t="str">
        <v>GLASS PANEL REINFORCEMENT</v>
      </c>
      <c r="O9">
        <v>6555</v>
      </c>
      <c r="Q9">
        <v>0</v>
      </c>
    </row>
    <row r="10">
      <c r="E10">
        <v>0</v>
      </c>
      <c r="F10">
        <v>0</v>
      </c>
      <c r="G10">
        <v>0</v>
      </c>
      <c r="I10" t="str">
        <v>태창금속</v>
      </c>
      <c r="J10" t="str">
        <v>태창금속</v>
      </c>
      <c r="K10" t="str">
        <v>KA4-RR</v>
      </c>
      <c r="L10" t="str">
        <v>50007300D</v>
      </c>
      <c r="M10" t="str">
        <v>GLASS PANEL REINFORCEMENT</v>
      </c>
      <c r="N10">
        <v>1</v>
      </c>
      <c r="O10">
        <v>6555</v>
      </c>
      <c r="P10">
        <v>7015</v>
      </c>
      <c r="Q10">
        <v>45983325</v>
      </c>
      <c r="S10">
        <v>1013.2</v>
      </c>
      <c r="T10">
        <v>6555</v>
      </c>
      <c r="U10" t="str">
        <v>SPCC</v>
      </c>
      <c r="V10">
        <v>1.2</v>
      </c>
      <c r="W10">
        <v>680</v>
      </c>
      <c r="X10">
        <v>1010</v>
      </c>
      <c r="Y10">
        <v>1</v>
      </c>
      <c r="Z10">
        <v>7.85</v>
      </c>
      <c r="AA10">
        <v>6.47</v>
      </c>
      <c r="AE10">
        <v>45983325</v>
      </c>
      <c r="AF10" t="str">
        <v>스크랩금액</v>
      </c>
      <c r="AG10">
        <v>7015</v>
      </c>
      <c r="AH10">
        <v>4.939</v>
      </c>
      <c r="AI10">
        <v>362</v>
      </c>
      <c r="AJ10">
        <v>12542244.77</v>
      </c>
    </row>
    <row r="11">
      <c r="A11" t="str">
        <v>인알파코리아</v>
      </c>
      <c r="B11" t="str">
        <v>KA4 FR</v>
      </c>
      <c r="C11" t="str">
        <v>50007407B</v>
      </c>
      <c r="D11" t="str">
        <v>GLASS PANEL REINFORCEMENT</v>
      </c>
      <c r="E11">
        <v>7472.952755905511</v>
      </c>
      <c r="F11">
        <v>7015</v>
      </c>
      <c r="G11">
        <v>52422763.58267716</v>
      </c>
      <c r="J11" t="str">
        <v>인알파코리아</v>
      </c>
      <c r="K11" t="str">
        <v>KA4 FR</v>
      </c>
      <c r="L11" t="str">
        <v>50007407B</v>
      </c>
      <c r="M11" t="str">
        <v>GLASS PANEL REINFORCEMENT</v>
      </c>
      <c r="O11">
        <v>6069</v>
      </c>
      <c r="P11">
        <v>0</v>
      </c>
      <c r="Q11">
        <v>0</v>
      </c>
      <c r="AC11">
        <v>0</v>
      </c>
      <c r="AE11">
        <v>0</v>
      </c>
    </row>
    <row r="12">
      <c r="E12">
        <v>0</v>
      </c>
      <c r="F12">
        <v>0</v>
      </c>
      <c r="G12">
        <v>0</v>
      </c>
      <c r="I12" t="str">
        <v>태창금속</v>
      </c>
      <c r="J12" t="str">
        <v>태창금속</v>
      </c>
      <c r="K12" t="str">
        <v>KA4 FR</v>
      </c>
      <c r="L12" t="str">
        <v>50007407B</v>
      </c>
      <c r="M12" t="str">
        <v>GLASS PANEL REINFORCEMENT</v>
      </c>
      <c r="N12">
        <v>1</v>
      </c>
      <c r="O12">
        <v>6069</v>
      </c>
      <c r="P12">
        <v>7015</v>
      </c>
      <c r="Q12">
        <v>42574035</v>
      </c>
      <c r="S12">
        <v>1013.2</v>
      </c>
      <c r="T12">
        <v>6069</v>
      </c>
      <c r="U12" t="str">
        <v>SPCC</v>
      </c>
      <c r="V12">
        <v>1.2</v>
      </c>
      <c r="W12">
        <v>630</v>
      </c>
      <c r="X12">
        <v>1010</v>
      </c>
      <c r="Y12">
        <v>1</v>
      </c>
      <c r="Z12">
        <v>7.85</v>
      </c>
      <c r="AA12">
        <v>5.99</v>
      </c>
      <c r="AE12">
        <v>42574035</v>
      </c>
      <c r="AF12" t="str">
        <v>스크랩금액</v>
      </c>
      <c r="AG12">
        <v>7015</v>
      </c>
      <c r="AH12">
        <v>4.352</v>
      </c>
      <c r="AI12">
        <v>362</v>
      </c>
      <c r="AJ12">
        <v>11051599.360000001</v>
      </c>
    </row>
    <row r="13">
      <c r="A13" t="str">
        <v>인알파코리아</v>
      </c>
      <c r="B13" t="str">
        <v>UM</v>
      </c>
      <c r="C13" t="str">
        <v>50008160E</v>
      </c>
      <c r="D13" t="str">
        <v>GLASS REINFORCEMENT ASSY</v>
      </c>
      <c r="E13">
        <v>0</v>
      </c>
      <c r="F13">
        <v>0</v>
      </c>
      <c r="G13">
        <v>0</v>
      </c>
      <c r="J13" t="str">
        <v>인알파코리아</v>
      </c>
      <c r="K13" t="str">
        <v>UM</v>
      </c>
      <c r="L13" t="str">
        <v>50008160E</v>
      </c>
      <c r="M13" t="str">
        <v>GLASS REINFORCEMENT ASSY</v>
      </c>
      <c r="O13">
        <v>14573</v>
      </c>
      <c r="P13">
        <v>0</v>
      </c>
      <c r="Q13">
        <v>0</v>
      </c>
      <c r="AC13">
        <v>0</v>
      </c>
    </row>
    <row r="14">
      <c r="E14">
        <v>0</v>
      </c>
      <c r="F14">
        <v>0</v>
      </c>
      <c r="G14">
        <v>0</v>
      </c>
      <c r="I14" t="str">
        <v>태창금속</v>
      </c>
      <c r="J14" t="str">
        <v>태창금속</v>
      </c>
      <c r="K14" t="str">
        <v>UM</v>
      </c>
      <c r="L14" t="str">
        <v>50008160E</v>
      </c>
      <c r="M14" t="str">
        <v>GLASS REINFORCEMENT ASSY</v>
      </c>
      <c r="N14">
        <v>1</v>
      </c>
      <c r="O14">
        <v>14573</v>
      </c>
      <c r="P14">
        <v>0</v>
      </c>
      <c r="Q14">
        <v>0</v>
      </c>
      <c r="S14">
        <v>1130.6</v>
      </c>
      <c r="T14">
        <v>14573</v>
      </c>
      <c r="U14" t="str">
        <v>SGARC340</v>
      </c>
      <c r="V14">
        <v>1.6</v>
      </c>
      <c r="W14">
        <v>900</v>
      </c>
      <c r="X14">
        <v>1150</v>
      </c>
      <c r="Y14">
        <v>1</v>
      </c>
      <c r="Z14">
        <v>7.85</v>
      </c>
      <c r="AA14">
        <v>12.89</v>
      </c>
      <c r="AF14" t="str">
        <v>스크랩금액</v>
      </c>
      <c r="AG14">
        <v>0</v>
      </c>
      <c r="AH14">
        <v>9.737</v>
      </c>
      <c r="AI14">
        <v>362</v>
      </c>
      <c r="AJ14">
        <v>0</v>
      </c>
    </row>
    <row r="15">
      <c r="A15" t="str">
        <v>인알파코리아</v>
      </c>
      <c r="B15" t="str">
        <v>CK</v>
      </c>
      <c r="C15" t="str">
        <v>50009719C</v>
      </c>
      <c r="D15" t="str">
        <v>REINFORCEMENT GLASS</v>
      </c>
      <c r="E15">
        <v>0</v>
      </c>
      <c r="F15">
        <v>0</v>
      </c>
      <c r="G15">
        <v>0</v>
      </c>
      <c r="J15" t="str">
        <v>인알파코리아</v>
      </c>
      <c r="K15" t="str">
        <v>CK</v>
      </c>
      <c r="L15" t="str">
        <v>50009719C</v>
      </c>
      <c r="M15" t="str">
        <v>REINFORCEMENT GLASS</v>
      </c>
      <c r="O15">
        <v>10030</v>
      </c>
      <c r="P15">
        <v>0</v>
      </c>
      <c r="Q15">
        <v>0</v>
      </c>
      <c r="AA15">
        <v>8.41</v>
      </c>
    </row>
    <row r="16">
      <c r="E16">
        <v>0</v>
      </c>
      <c r="F16">
        <v>0</v>
      </c>
      <c r="G16">
        <v>0</v>
      </c>
      <c r="I16" t="str">
        <v>태창금속</v>
      </c>
      <c r="J16" t="str">
        <v>태창금속</v>
      </c>
      <c r="K16" t="str">
        <v>CK</v>
      </c>
      <c r="L16" t="str">
        <v>50009719C</v>
      </c>
      <c r="M16" t="str">
        <v>REINFORCEMENT GLASS</v>
      </c>
      <c r="N16">
        <v>1</v>
      </c>
      <c r="O16">
        <v>10030</v>
      </c>
      <c r="P16">
        <v>0</v>
      </c>
      <c r="Q16">
        <v>0</v>
      </c>
      <c r="S16">
        <v>1192.6</v>
      </c>
      <c r="T16">
        <v>10030</v>
      </c>
      <c r="U16" t="str">
        <v>SGARC440</v>
      </c>
      <c r="V16">
        <v>1.2</v>
      </c>
      <c r="W16">
        <v>850</v>
      </c>
      <c r="X16">
        <v>1050</v>
      </c>
      <c r="Y16">
        <v>1</v>
      </c>
      <c r="Z16">
        <v>7.85</v>
      </c>
      <c r="AA16">
        <v>8.41</v>
      </c>
      <c r="AE16">
        <v>0</v>
      </c>
      <c r="AF16" t="str">
        <v>스크랩금액</v>
      </c>
      <c r="AG16">
        <v>0</v>
      </c>
      <c r="AH16">
        <v>5.939</v>
      </c>
      <c r="AI16">
        <v>362</v>
      </c>
      <c r="AJ16">
        <v>0</v>
      </c>
    </row>
    <row r="17">
      <c r="A17" t="str">
        <v>인알파코리아</v>
      </c>
      <c r="B17" t="str">
        <v>IK</v>
      </c>
      <c r="C17" t="str">
        <v>50009937C</v>
      </c>
      <c r="D17" t="str">
        <v>REINFORCEMENT GLASS</v>
      </c>
      <c r="E17">
        <v>10872.4375</v>
      </c>
      <c r="F17">
        <v>960</v>
      </c>
      <c r="G17">
        <v>10437540</v>
      </c>
      <c r="J17" t="str">
        <v>인알파코리아</v>
      </c>
      <c r="K17" t="str">
        <v>IK</v>
      </c>
      <c r="L17" t="str">
        <v>50009937C</v>
      </c>
      <c r="M17" t="str">
        <v>REINFORCEMENT GLASS</v>
      </c>
      <c r="O17">
        <v>10030</v>
      </c>
      <c r="Q17">
        <v>0</v>
      </c>
    </row>
    <row r="18">
      <c r="E18">
        <v>0</v>
      </c>
      <c r="F18">
        <v>0</v>
      </c>
      <c r="I18" t="str">
        <v>태창금속</v>
      </c>
      <c r="J18" t="str">
        <v>태창금속</v>
      </c>
      <c r="K18" t="str">
        <v>IK</v>
      </c>
      <c r="L18" t="str">
        <v>50009937C</v>
      </c>
      <c r="M18" t="str">
        <v>REINFORCEMENT GLASS</v>
      </c>
      <c r="N18">
        <v>1</v>
      </c>
      <c r="O18">
        <v>10030</v>
      </c>
      <c r="P18">
        <v>960</v>
      </c>
      <c r="Q18">
        <v>9628800</v>
      </c>
      <c r="S18">
        <v>1192.6</v>
      </c>
      <c r="T18">
        <v>10030</v>
      </c>
      <c r="U18" t="str">
        <v>SGARC440</v>
      </c>
      <c r="V18">
        <v>1.2</v>
      </c>
      <c r="W18">
        <v>850</v>
      </c>
      <c r="X18">
        <v>1050</v>
      </c>
      <c r="Y18">
        <v>1</v>
      </c>
      <c r="Z18">
        <v>7.85</v>
      </c>
      <c r="AA18">
        <v>8.41</v>
      </c>
      <c r="AE18">
        <v>9628800</v>
      </c>
      <c r="AF18" t="str">
        <v>스크랩금액</v>
      </c>
      <c r="AG18">
        <v>960</v>
      </c>
      <c r="AH18">
        <v>5.939</v>
      </c>
      <c r="AI18">
        <v>362</v>
      </c>
      <c r="AJ18">
        <v>2063921.2800000003</v>
      </c>
    </row>
    <row r="19">
      <c r="A19" t="str">
        <v>인알파코리아</v>
      </c>
      <c r="B19" t="str">
        <v>CK</v>
      </c>
      <c r="C19" t="str">
        <v>50009743E</v>
      </c>
      <c r="D19" t="str">
        <v>ROLLO CASSETTE ASSY</v>
      </c>
      <c r="E19">
        <v>0</v>
      </c>
      <c r="F19">
        <v>0</v>
      </c>
      <c r="G19">
        <v>0</v>
      </c>
      <c r="J19" t="str">
        <v>태창금속</v>
      </c>
      <c r="K19" t="str">
        <v>CK</v>
      </c>
      <c r="L19" t="str">
        <v>50009743E</v>
      </c>
      <c r="M19" t="str">
        <v>ROLLO CASSETTE ASSY</v>
      </c>
      <c r="O19">
        <v>4184.9</v>
      </c>
      <c r="AE19">
        <v>0</v>
      </c>
    </row>
    <row r="20">
      <c r="E20">
        <v>0</v>
      </c>
      <c r="F20">
        <v>0</v>
      </c>
      <c r="I20" t="str">
        <v>태창금속</v>
      </c>
      <c r="J20" t="str">
        <v>태창금속</v>
      </c>
      <c r="K20" t="str">
        <v>CK</v>
      </c>
      <c r="L20">
        <v>50009743</v>
      </c>
      <c r="M20" t="str">
        <v>ROLLO CASSETTE</v>
      </c>
      <c r="N20">
        <v>1</v>
      </c>
      <c r="O20">
        <v>3957</v>
      </c>
      <c r="P20">
        <v>0</v>
      </c>
      <c r="Q20">
        <v>0</v>
      </c>
      <c r="S20">
        <v>1130.6</v>
      </c>
      <c r="T20">
        <v>3957</v>
      </c>
      <c r="U20" t="str">
        <v>SGARC340</v>
      </c>
      <c r="V20">
        <v>1.2</v>
      </c>
      <c r="W20">
        <v>1040</v>
      </c>
      <c r="X20">
        <v>357</v>
      </c>
      <c r="Y20">
        <v>1</v>
      </c>
      <c r="Z20">
        <v>7.85</v>
      </c>
      <c r="AA20">
        <v>3.5</v>
      </c>
      <c r="AE20">
        <v>0</v>
      </c>
      <c r="AF20" t="str">
        <v>스크랩금액</v>
      </c>
      <c r="AG20">
        <v>0</v>
      </c>
      <c r="AH20">
        <v>1.427</v>
      </c>
      <c r="AI20">
        <v>362</v>
      </c>
      <c r="AJ20">
        <v>0</v>
      </c>
    </row>
    <row r="21">
      <c r="E21">
        <v>0</v>
      </c>
      <c r="F21">
        <v>0</v>
      </c>
      <c r="I21" t="str">
        <v>하드웨어</v>
      </c>
      <c r="J21" t="str">
        <v>삼진스틸</v>
      </c>
      <c r="L21" t="str">
        <v>13905-06000</v>
      </c>
      <c r="M21" t="str">
        <v>SQ WD NUT</v>
      </c>
      <c r="N21">
        <v>15</v>
      </c>
      <c r="O21">
        <v>11.400000000000002</v>
      </c>
      <c r="P21">
        <v>0</v>
      </c>
      <c r="Q21">
        <v>0</v>
      </c>
      <c r="AE21">
        <v>0</v>
      </c>
    </row>
    <row r="22">
      <c r="E22">
        <v>0</v>
      </c>
      <c r="F22">
        <v>0</v>
      </c>
      <c r="I22" t="str">
        <v>하드웨어</v>
      </c>
      <c r="J22" t="str">
        <v>대일CFT</v>
      </c>
      <c r="K22" t="str">
        <v>CK/IK</v>
      </c>
      <c r="L22">
        <v>50007752</v>
      </c>
      <c r="M22" t="str">
        <v>M5*16.7 BOLT</v>
      </c>
      <c r="N22">
        <v>6</v>
      </c>
      <c r="O22">
        <v>14.5</v>
      </c>
      <c r="P22">
        <v>0</v>
      </c>
      <c r="Q22">
        <v>0</v>
      </c>
      <c r="AE22">
        <v>0</v>
      </c>
    </row>
    <row r="23">
      <c r="E23">
        <v>0</v>
      </c>
      <c r="F23">
        <v>0</v>
      </c>
      <c r="H23" t="str">
        <v>협력업체 철판</v>
      </c>
      <c r="I23" t="str">
        <v>협력업체</v>
      </c>
      <c r="J23" t="str">
        <v>에이오에스</v>
      </c>
      <c r="K23" t="str">
        <v>CK</v>
      </c>
      <c r="L23">
        <v>50009745</v>
      </c>
      <c r="M23" t="str">
        <v>B/K H/ LINER RR</v>
      </c>
      <c r="N23">
        <v>4</v>
      </c>
      <c r="O23">
        <v>57</v>
      </c>
      <c r="P23">
        <v>0</v>
      </c>
      <c r="Q23">
        <v>0</v>
      </c>
      <c r="S23">
        <v>1006</v>
      </c>
      <c r="T23">
        <v>20</v>
      </c>
      <c r="U23" t="str">
        <v>SPCC</v>
      </c>
      <c r="V23">
        <v>1</v>
      </c>
      <c r="W23">
        <v>110</v>
      </c>
      <c r="X23">
        <v>26</v>
      </c>
      <c r="Y23">
        <v>1</v>
      </c>
      <c r="Z23">
        <v>7.85</v>
      </c>
      <c r="AA23">
        <v>0.02</v>
      </c>
      <c r="AC23">
        <v>0</v>
      </c>
      <c r="AE23">
        <v>0</v>
      </c>
    </row>
    <row r="24">
      <c r="E24">
        <v>0</v>
      </c>
      <c r="F24">
        <v>0</v>
      </c>
      <c r="H24" t="str">
        <v>협력업체 철판</v>
      </c>
      <c r="I24" t="str">
        <v>협력업체</v>
      </c>
      <c r="J24" t="str">
        <v>에이오에스</v>
      </c>
      <c r="K24" t="str">
        <v>CK/IK</v>
      </c>
      <c r="L24">
        <v>50010027</v>
      </c>
      <c r="M24" t="str">
        <v>B/K FOR CONNECTOR</v>
      </c>
      <c r="N24">
        <v>1</v>
      </c>
      <c r="O24">
        <v>65</v>
      </c>
      <c r="P24">
        <v>0</v>
      </c>
      <c r="Q24">
        <v>0</v>
      </c>
      <c r="S24">
        <v>1006</v>
      </c>
      <c r="T24">
        <v>10</v>
      </c>
      <c r="U24" t="str">
        <v>SPCC</v>
      </c>
      <c r="V24">
        <v>0.8</v>
      </c>
      <c r="W24">
        <v>85</v>
      </c>
      <c r="X24">
        <v>28</v>
      </c>
      <c r="Y24">
        <v>1</v>
      </c>
      <c r="Z24">
        <v>7.85</v>
      </c>
      <c r="AA24">
        <v>0.01</v>
      </c>
      <c r="AC24">
        <v>0</v>
      </c>
      <c r="AE24">
        <v>0</v>
      </c>
    </row>
    <row r="25">
      <c r="E25">
        <v>0</v>
      </c>
      <c r="F25">
        <v>0</v>
      </c>
      <c r="H25" t="str">
        <v>협력업체 철판</v>
      </c>
      <c r="I25" t="str">
        <v>협력업체</v>
      </c>
      <c r="J25" t="str">
        <v>에이오에스</v>
      </c>
      <c r="K25" t="str">
        <v>CK/IK</v>
      </c>
      <c r="L25">
        <v>50009877</v>
      </c>
      <c r="M25" t="str">
        <v>B/K ROLLO LH</v>
      </c>
      <c r="N25">
        <v>1</v>
      </c>
      <c r="O25">
        <v>40</v>
      </c>
      <c r="P25">
        <v>0</v>
      </c>
      <c r="Q25">
        <v>0</v>
      </c>
      <c r="S25">
        <v>1006</v>
      </c>
      <c r="T25">
        <v>20</v>
      </c>
      <c r="U25" t="str">
        <v>SPCC</v>
      </c>
      <c r="V25">
        <v>1.2</v>
      </c>
      <c r="W25">
        <v>118</v>
      </c>
      <c r="X25">
        <v>35</v>
      </c>
      <c r="Y25">
        <v>2</v>
      </c>
      <c r="Z25">
        <v>7.85</v>
      </c>
      <c r="AA25">
        <v>0.02</v>
      </c>
      <c r="AC25">
        <v>0</v>
      </c>
      <c r="AE25">
        <v>0</v>
      </c>
    </row>
    <row r="26">
      <c r="E26">
        <v>0</v>
      </c>
      <c r="F26">
        <v>0</v>
      </c>
      <c r="H26" t="str">
        <v>협력업체 철판</v>
      </c>
      <c r="I26" t="str">
        <v>협력업체</v>
      </c>
      <c r="J26" t="str">
        <v>에이오에스</v>
      </c>
      <c r="K26" t="str">
        <v>CK/IK</v>
      </c>
      <c r="L26">
        <v>50009878</v>
      </c>
      <c r="M26" t="str">
        <v>B/K ROLLO RH</v>
      </c>
      <c r="N26">
        <v>1</v>
      </c>
      <c r="O26">
        <v>40</v>
      </c>
      <c r="P26">
        <v>0</v>
      </c>
      <c r="Q26">
        <v>0</v>
      </c>
      <c r="S26">
        <v>1006</v>
      </c>
      <c r="T26">
        <v>20</v>
      </c>
      <c r="U26" t="str">
        <v>SPCC</v>
      </c>
      <c r="V26">
        <v>1.2</v>
      </c>
      <c r="W26">
        <v>118</v>
      </c>
      <c r="X26">
        <v>35</v>
      </c>
      <c r="Y26">
        <v>2</v>
      </c>
      <c r="Z26">
        <v>7.85</v>
      </c>
      <c r="AA26">
        <v>0.02</v>
      </c>
      <c r="AC26">
        <v>0</v>
      </c>
      <c r="AE26">
        <v>0</v>
      </c>
    </row>
    <row r="27">
      <c r="A27" t="str">
        <v>인알파코리아</v>
      </c>
      <c r="B27" t="str">
        <v>CK</v>
      </c>
      <c r="C27" t="str">
        <v>50009766A</v>
      </c>
      <c r="D27" t="str">
        <v>BRACKET MECHANISM GUIDE FRONT</v>
      </c>
      <c r="E27">
        <v>0</v>
      </c>
      <c r="F27">
        <v>0</v>
      </c>
      <c r="G27">
        <v>0</v>
      </c>
      <c r="J27" t="str">
        <v>인알파코리아</v>
      </c>
      <c r="K27" t="str">
        <v>CK</v>
      </c>
      <c r="L27" t="str">
        <v>50009766A</v>
      </c>
      <c r="M27" t="str">
        <v>BRACKET MECHANISM GUIDE FRONT</v>
      </c>
      <c r="O27">
        <v>524.4</v>
      </c>
      <c r="AE27">
        <v>0</v>
      </c>
    </row>
    <row r="28">
      <c r="E28">
        <v>0</v>
      </c>
      <c r="F28">
        <v>0</v>
      </c>
      <c r="G28">
        <v>0</v>
      </c>
      <c r="H28" t="str">
        <v>협력업체 철판</v>
      </c>
      <c r="I28" t="str">
        <v>협력업체</v>
      </c>
      <c r="J28" t="str">
        <v>제이에스테크</v>
      </c>
      <c r="K28" t="str">
        <v>CK</v>
      </c>
      <c r="L28" t="str">
        <v>50009766A</v>
      </c>
      <c r="M28" t="str">
        <v>MECHANISM  GUIDE</v>
      </c>
      <c r="N28">
        <v>1</v>
      </c>
      <c r="O28">
        <v>513</v>
      </c>
      <c r="P28">
        <v>0</v>
      </c>
      <c r="Q28">
        <v>0</v>
      </c>
      <c r="S28">
        <v>1144</v>
      </c>
      <c r="T28">
        <v>446</v>
      </c>
      <c r="U28" t="str">
        <v>SGARC340</v>
      </c>
      <c r="V28">
        <v>1.2</v>
      </c>
      <c r="W28">
        <v>360</v>
      </c>
      <c r="X28">
        <v>230</v>
      </c>
      <c r="Y28">
        <v>2</v>
      </c>
      <c r="Z28">
        <v>7.85</v>
      </c>
      <c r="AA28">
        <v>0.39</v>
      </c>
      <c r="AC28">
        <v>0</v>
      </c>
      <c r="AE28">
        <v>0</v>
      </c>
    </row>
    <row r="29">
      <c r="E29">
        <v>0</v>
      </c>
      <c r="F29">
        <v>0</v>
      </c>
      <c r="G29">
        <v>0</v>
      </c>
      <c r="I29" t="str">
        <v>하드웨어</v>
      </c>
      <c r="J29" t="str">
        <v>삼진스틸</v>
      </c>
      <c r="L29" t="str">
        <v>13905-06000</v>
      </c>
      <c r="M29" t="str">
        <v>SQ WD NUT</v>
      </c>
      <c r="N29">
        <v>2</v>
      </c>
      <c r="O29">
        <v>11.400000000000002</v>
      </c>
      <c r="P29">
        <v>0</v>
      </c>
      <c r="Q29">
        <v>0</v>
      </c>
      <c r="AC29">
        <v>0</v>
      </c>
      <c r="AE29">
        <v>0</v>
      </c>
    </row>
    <row r="30">
      <c r="A30" t="str">
        <v>인알파코리아</v>
      </c>
      <c r="B30" t="str">
        <v>CK</v>
      </c>
      <c r="C30" t="str">
        <v>50009768A</v>
      </c>
      <c r="D30" t="str">
        <v>BRACKET MECHANISM GUIDE FRONT</v>
      </c>
      <c r="E30">
        <v>0</v>
      </c>
      <c r="F30">
        <v>0</v>
      </c>
      <c r="G30">
        <v>0</v>
      </c>
      <c r="J30" t="str">
        <v>인알파코리아</v>
      </c>
      <c r="K30" t="str">
        <v>CK</v>
      </c>
      <c r="L30" t="str">
        <v>50009768A</v>
      </c>
      <c r="M30" t="str">
        <v>BRACKET MECHANISM GUIDE FRONT</v>
      </c>
      <c r="O30">
        <v>524.4</v>
      </c>
      <c r="AE30">
        <v>0</v>
      </c>
    </row>
    <row r="31">
      <c r="E31">
        <v>0</v>
      </c>
      <c r="F31">
        <v>0</v>
      </c>
      <c r="G31">
        <v>0</v>
      </c>
      <c r="H31" t="str">
        <v>협력업체 철판</v>
      </c>
      <c r="I31" t="str">
        <v>협력업체</v>
      </c>
      <c r="J31" t="str">
        <v>제이에스테크</v>
      </c>
      <c r="K31" t="str">
        <v>CK</v>
      </c>
      <c r="L31" t="str">
        <v>50009768A</v>
      </c>
      <c r="M31" t="str">
        <v>MECHANISM  GUIDE</v>
      </c>
      <c r="N31">
        <v>1</v>
      </c>
      <c r="O31">
        <v>513</v>
      </c>
      <c r="P31">
        <v>0</v>
      </c>
      <c r="Q31">
        <v>0</v>
      </c>
      <c r="S31">
        <v>1144</v>
      </c>
      <c r="T31">
        <v>446</v>
      </c>
      <c r="U31" t="str">
        <v>SGARC340</v>
      </c>
      <c r="V31">
        <v>1.2</v>
      </c>
      <c r="W31">
        <v>360</v>
      </c>
      <c r="X31">
        <v>230</v>
      </c>
      <c r="Y31">
        <v>2</v>
      </c>
      <c r="Z31">
        <v>7.85</v>
      </c>
      <c r="AA31">
        <v>0.39</v>
      </c>
      <c r="AC31">
        <v>0</v>
      </c>
      <c r="AE31">
        <v>0</v>
      </c>
    </row>
    <row r="32">
      <c r="E32">
        <v>0</v>
      </c>
      <c r="F32">
        <v>0</v>
      </c>
      <c r="G32">
        <v>0</v>
      </c>
      <c r="I32" t="str">
        <v>하드웨어</v>
      </c>
      <c r="J32" t="str">
        <v>삼진스틸</v>
      </c>
      <c r="L32" t="str">
        <v>13905-06000</v>
      </c>
      <c r="M32" t="str">
        <v>SQ WD NUT</v>
      </c>
      <c r="N32">
        <v>2</v>
      </c>
      <c r="O32">
        <v>11.400000000000002</v>
      </c>
      <c r="P32">
        <v>0</v>
      </c>
      <c r="Q32">
        <v>0</v>
      </c>
      <c r="AC32">
        <v>0</v>
      </c>
      <c r="AE32">
        <v>0</v>
      </c>
    </row>
    <row r="33">
      <c r="A33" t="str">
        <v>인알파코리아</v>
      </c>
      <c r="B33" t="str">
        <v>CK</v>
      </c>
      <c r="C33" t="str">
        <v>50009770B</v>
      </c>
      <c r="D33" t="str">
        <v>BRACKET SIDE ASSY LH</v>
      </c>
      <c r="E33">
        <v>239</v>
      </c>
      <c r="F33">
        <v>0</v>
      </c>
      <c r="G33">
        <v>0</v>
      </c>
      <c r="J33" t="str">
        <v>인알파코리아</v>
      </c>
      <c r="K33" t="str">
        <v>CK</v>
      </c>
      <c r="L33" t="str">
        <v>50009770B</v>
      </c>
      <c r="M33" t="str">
        <v>BRACKET SIDE ASSY LH</v>
      </c>
      <c r="O33">
        <v>142.4</v>
      </c>
      <c r="AE33">
        <v>0</v>
      </c>
    </row>
    <row r="34">
      <c r="E34">
        <v>0</v>
      </c>
      <c r="F34">
        <v>0</v>
      </c>
      <c r="G34">
        <v>0</v>
      </c>
      <c r="H34" t="str">
        <v>협력업체 철판</v>
      </c>
      <c r="I34" t="str">
        <v>협력업체</v>
      </c>
      <c r="J34" t="str">
        <v>에이오에스</v>
      </c>
      <c r="K34" t="str">
        <v>CK</v>
      </c>
      <c r="L34">
        <v>50009770</v>
      </c>
      <c r="M34" t="str">
        <v>BRACKET SIDE LH</v>
      </c>
      <c r="N34">
        <v>1</v>
      </c>
      <c r="O34">
        <v>131</v>
      </c>
      <c r="P34">
        <v>0</v>
      </c>
      <c r="Q34">
        <v>0</v>
      </c>
      <c r="S34">
        <v>1144</v>
      </c>
      <c r="T34">
        <v>103</v>
      </c>
      <c r="U34" t="str">
        <v>SGARC340</v>
      </c>
      <c r="V34">
        <v>1.2</v>
      </c>
      <c r="W34">
        <v>280</v>
      </c>
      <c r="X34">
        <v>70</v>
      </c>
      <c r="Y34">
        <v>2</v>
      </c>
      <c r="Z34">
        <v>7.85</v>
      </c>
      <c r="AA34">
        <v>0.09</v>
      </c>
      <c r="AC34">
        <v>0</v>
      </c>
      <c r="AE34">
        <v>0</v>
      </c>
    </row>
    <row r="35">
      <c r="E35">
        <v>0</v>
      </c>
      <c r="F35">
        <v>0</v>
      </c>
      <c r="G35">
        <v>0</v>
      </c>
      <c r="I35" t="str">
        <v>하드웨어</v>
      </c>
      <c r="J35" t="str">
        <v>삼진스틸</v>
      </c>
      <c r="L35" t="str">
        <v>13905-06000</v>
      </c>
      <c r="M35" t="str">
        <v>SQ WD NUT</v>
      </c>
      <c r="N35">
        <v>2</v>
      </c>
      <c r="O35">
        <v>11.400000000000002</v>
      </c>
      <c r="P35">
        <v>0</v>
      </c>
      <c r="Q35">
        <v>0</v>
      </c>
      <c r="AC35">
        <v>0</v>
      </c>
      <c r="AE35">
        <v>0</v>
      </c>
    </row>
    <row r="36">
      <c r="A36" t="str">
        <v>인알파코리아</v>
      </c>
      <c r="B36" t="str">
        <v>CK</v>
      </c>
      <c r="C36" t="str">
        <v>50009772B</v>
      </c>
      <c r="D36" t="str">
        <v>BRACKET SIDE ASSY RH</v>
      </c>
      <c r="E36">
        <v>0</v>
      </c>
      <c r="F36">
        <v>0</v>
      </c>
      <c r="G36">
        <v>0</v>
      </c>
      <c r="J36" t="str">
        <v>인알파코리아</v>
      </c>
      <c r="K36" t="str">
        <v>CK</v>
      </c>
      <c r="L36" t="str">
        <v>50009772B</v>
      </c>
      <c r="M36" t="str">
        <v>BRACKET SIDE ASSY RH</v>
      </c>
      <c r="O36">
        <v>142.4</v>
      </c>
      <c r="AE36">
        <v>0</v>
      </c>
    </row>
    <row r="37">
      <c r="E37">
        <v>0</v>
      </c>
      <c r="F37">
        <v>0</v>
      </c>
      <c r="G37">
        <v>0</v>
      </c>
      <c r="H37" t="str">
        <v>협력업체 철판</v>
      </c>
      <c r="I37" t="str">
        <v>협력업체</v>
      </c>
      <c r="J37" t="str">
        <v>에이오에스</v>
      </c>
      <c r="K37" t="str">
        <v>CK</v>
      </c>
      <c r="L37">
        <v>50009772</v>
      </c>
      <c r="M37" t="str">
        <v>BRACKET SIDE RH</v>
      </c>
      <c r="N37">
        <v>1</v>
      </c>
      <c r="O37">
        <v>131</v>
      </c>
      <c r="P37">
        <v>0</v>
      </c>
      <c r="Q37">
        <v>0</v>
      </c>
      <c r="S37">
        <v>1144</v>
      </c>
      <c r="T37">
        <v>103</v>
      </c>
      <c r="U37" t="str">
        <v>SGARC340</v>
      </c>
      <c r="V37">
        <v>1.2</v>
      </c>
      <c r="W37">
        <v>280</v>
      </c>
      <c r="X37">
        <v>70</v>
      </c>
      <c r="Y37">
        <v>2</v>
      </c>
      <c r="Z37">
        <v>7.85</v>
      </c>
      <c r="AA37">
        <v>0.09</v>
      </c>
      <c r="AC37">
        <v>0</v>
      </c>
      <c r="AE37">
        <v>0</v>
      </c>
    </row>
    <row r="38">
      <c r="E38">
        <v>0</v>
      </c>
      <c r="F38">
        <v>0</v>
      </c>
      <c r="G38">
        <v>0</v>
      </c>
      <c r="I38" t="str">
        <v>하드웨어</v>
      </c>
      <c r="J38" t="str">
        <v>삼진스틸</v>
      </c>
      <c r="L38" t="str">
        <v>13905-06000</v>
      </c>
      <c r="M38" t="str">
        <v>SQ WD NUT</v>
      </c>
      <c r="N38">
        <v>2</v>
      </c>
      <c r="O38">
        <v>11.400000000000002</v>
      </c>
      <c r="P38">
        <v>0</v>
      </c>
      <c r="Q38">
        <v>0</v>
      </c>
      <c r="AC38">
        <v>0</v>
      </c>
      <c r="AE38">
        <v>0</v>
      </c>
    </row>
    <row r="39">
      <c r="A39" t="str">
        <v>인알파코리아</v>
      </c>
      <c r="B39" t="str">
        <v>IK</v>
      </c>
      <c r="C39" t="str">
        <v>50009971C</v>
      </c>
      <c r="D39" t="str">
        <v>BRACKET MECHANISM GUIDE FRONT</v>
      </c>
      <c r="E39">
        <v>833</v>
      </c>
      <c r="F39">
        <v>960</v>
      </c>
      <c r="G39">
        <v>799680</v>
      </c>
      <c r="J39" t="str">
        <v>인알파코리아</v>
      </c>
      <c r="K39" t="str">
        <v>IK</v>
      </c>
      <c r="L39" t="str">
        <v>50009971C</v>
      </c>
      <c r="M39" t="str">
        <v>BRACKET MECHANISM GUIDE FRONT</v>
      </c>
      <c r="O39">
        <v>519.4</v>
      </c>
      <c r="AE39">
        <v>0</v>
      </c>
    </row>
    <row r="40">
      <c r="E40">
        <v>0</v>
      </c>
      <c r="F40">
        <v>0</v>
      </c>
      <c r="G40">
        <v>0</v>
      </c>
      <c r="H40" t="str">
        <v>협력업체 철판</v>
      </c>
      <c r="I40" t="str">
        <v>협력업체</v>
      </c>
      <c r="J40" t="str">
        <v>제이에스테크</v>
      </c>
      <c r="K40" t="str">
        <v>IK</v>
      </c>
      <c r="L40" t="str">
        <v>50009971C</v>
      </c>
      <c r="M40" t="str">
        <v>MECHANISM  GUIDE</v>
      </c>
      <c r="N40">
        <v>1</v>
      </c>
      <c r="O40">
        <v>508</v>
      </c>
      <c r="P40">
        <v>960</v>
      </c>
      <c r="Q40">
        <v>487680</v>
      </c>
      <c r="S40">
        <v>1144</v>
      </c>
      <c r="T40">
        <v>446</v>
      </c>
      <c r="U40" t="str">
        <v>SGARC340</v>
      </c>
      <c r="V40">
        <v>1.2</v>
      </c>
      <c r="W40">
        <v>360</v>
      </c>
      <c r="X40">
        <v>230</v>
      </c>
      <c r="Y40">
        <v>2</v>
      </c>
      <c r="Z40">
        <v>7.85</v>
      </c>
      <c r="AA40">
        <v>0.39</v>
      </c>
      <c r="AC40">
        <v>428160</v>
      </c>
      <c r="AE40">
        <v>59520</v>
      </c>
    </row>
    <row r="41">
      <c r="E41">
        <v>0</v>
      </c>
      <c r="F41">
        <v>0</v>
      </c>
      <c r="G41">
        <v>0</v>
      </c>
      <c r="I41" t="str">
        <v>하드웨어</v>
      </c>
      <c r="J41" t="str">
        <v>삼진스틸</v>
      </c>
      <c r="L41" t="str">
        <v>13905-06000</v>
      </c>
      <c r="M41" t="str">
        <v>SQ WD NUT</v>
      </c>
      <c r="N41">
        <v>2</v>
      </c>
      <c r="O41">
        <v>11.400000000000002</v>
      </c>
      <c r="P41">
        <v>960</v>
      </c>
      <c r="Q41">
        <v>21888.000000000004</v>
      </c>
      <c r="AC41">
        <v>0</v>
      </c>
      <c r="AE41">
        <v>21888.000000000004</v>
      </c>
    </row>
    <row r="42">
      <c r="A42" t="str">
        <v>인알파코리아</v>
      </c>
      <c r="B42" t="str">
        <v>IK</v>
      </c>
      <c r="C42" t="str">
        <v>50009973C</v>
      </c>
      <c r="D42" t="str">
        <v>BRACKET MECHANISM GUIDE FRONT</v>
      </c>
      <c r="E42">
        <v>833</v>
      </c>
      <c r="F42">
        <v>960</v>
      </c>
      <c r="G42">
        <v>799680</v>
      </c>
      <c r="J42" t="str">
        <v>인알파코리아</v>
      </c>
      <c r="K42" t="str">
        <v>IK</v>
      </c>
      <c r="L42" t="str">
        <v>50009973C</v>
      </c>
      <c r="M42" t="str">
        <v>BRACKET MECHANISM GUIDE FRONT</v>
      </c>
      <c r="O42">
        <v>519.4</v>
      </c>
      <c r="AE42">
        <v>0</v>
      </c>
    </row>
    <row r="43">
      <c r="E43">
        <v>0</v>
      </c>
      <c r="F43">
        <v>0</v>
      </c>
      <c r="G43">
        <v>0</v>
      </c>
      <c r="H43" t="str">
        <v>협력업체 철판</v>
      </c>
      <c r="I43" t="str">
        <v>협력업체</v>
      </c>
      <c r="J43" t="str">
        <v>제이에스테크</v>
      </c>
      <c r="K43" t="str">
        <v>IK</v>
      </c>
      <c r="L43" t="str">
        <v>50009973C</v>
      </c>
      <c r="M43" t="str">
        <v>MECHANISM  GUIDE</v>
      </c>
      <c r="N43">
        <v>1</v>
      </c>
      <c r="O43">
        <v>508</v>
      </c>
      <c r="P43">
        <v>960</v>
      </c>
      <c r="Q43">
        <v>487680</v>
      </c>
      <c r="S43">
        <v>1144</v>
      </c>
      <c r="T43">
        <v>446</v>
      </c>
      <c r="U43" t="str">
        <v>SGARC340</v>
      </c>
      <c r="V43">
        <v>1.2</v>
      </c>
      <c r="W43">
        <v>360</v>
      </c>
      <c r="X43">
        <v>230</v>
      </c>
      <c r="Y43">
        <v>2</v>
      </c>
      <c r="Z43">
        <v>7.85</v>
      </c>
      <c r="AA43">
        <v>0.39</v>
      </c>
      <c r="AC43">
        <v>428160</v>
      </c>
      <c r="AE43">
        <v>59520</v>
      </c>
    </row>
    <row r="44">
      <c r="E44">
        <v>0</v>
      </c>
      <c r="F44">
        <v>0</v>
      </c>
      <c r="G44">
        <v>0</v>
      </c>
      <c r="I44" t="str">
        <v>하드웨어</v>
      </c>
      <c r="J44" t="str">
        <v>삼진스틸</v>
      </c>
      <c r="L44" t="str">
        <v>13905-06000</v>
      </c>
      <c r="M44" t="str">
        <v>SQ WD NUT</v>
      </c>
      <c r="N44">
        <v>2</v>
      </c>
      <c r="O44">
        <v>11.400000000000002</v>
      </c>
      <c r="P44">
        <v>960</v>
      </c>
      <c r="Q44">
        <v>21888.000000000004</v>
      </c>
      <c r="AC44">
        <v>0</v>
      </c>
      <c r="AE44">
        <v>21888.000000000004</v>
      </c>
    </row>
    <row r="45">
      <c r="A45" t="str">
        <v>인알파코리아</v>
      </c>
      <c r="B45" t="str">
        <v>IK</v>
      </c>
      <c r="C45" t="str">
        <v>50009975B</v>
      </c>
      <c r="D45" t="str">
        <v>BRACKET SIDE ASSY LH</v>
      </c>
      <c r="E45">
        <v>255.77777777777777</v>
      </c>
      <c r="F45">
        <v>960</v>
      </c>
      <c r="G45">
        <v>245546.66666666666</v>
      </c>
      <c r="J45" t="str">
        <v>인알파코리아</v>
      </c>
      <c r="K45" t="str">
        <v>IK</v>
      </c>
      <c r="L45" t="str">
        <v>50009975B</v>
      </c>
      <c r="M45" t="str">
        <v>BRACKET SIDE ASSY LH</v>
      </c>
      <c r="O45">
        <v>141.4</v>
      </c>
      <c r="AE45">
        <v>0</v>
      </c>
    </row>
    <row r="46">
      <c r="E46">
        <v>0</v>
      </c>
      <c r="F46">
        <v>0</v>
      </c>
      <c r="G46">
        <v>0</v>
      </c>
      <c r="H46" t="str">
        <v>협력업체 철판</v>
      </c>
      <c r="I46" t="str">
        <v>협력업체</v>
      </c>
      <c r="J46" t="str">
        <v>에이오에스</v>
      </c>
      <c r="K46" t="str">
        <v>IK</v>
      </c>
      <c r="L46" t="str">
        <v>50009975B</v>
      </c>
      <c r="M46" t="str">
        <v>BRACKET SIDE LH</v>
      </c>
      <c r="N46">
        <v>1</v>
      </c>
      <c r="O46">
        <v>130</v>
      </c>
      <c r="P46">
        <v>960</v>
      </c>
      <c r="Q46">
        <v>124800</v>
      </c>
      <c r="S46">
        <v>1144</v>
      </c>
      <c r="T46">
        <v>126</v>
      </c>
      <c r="U46" t="str">
        <v>SGARC340</v>
      </c>
      <c r="V46">
        <v>1.2</v>
      </c>
      <c r="W46">
        <v>348</v>
      </c>
      <c r="X46">
        <v>70</v>
      </c>
      <c r="Y46">
        <v>2</v>
      </c>
      <c r="Z46">
        <v>7.85</v>
      </c>
      <c r="AA46">
        <v>0.11</v>
      </c>
      <c r="AC46">
        <v>120960</v>
      </c>
      <c r="AE46">
        <v>3840</v>
      </c>
    </row>
    <row r="47">
      <c r="E47">
        <v>0</v>
      </c>
      <c r="F47">
        <v>0</v>
      </c>
      <c r="G47">
        <v>0</v>
      </c>
      <c r="I47" t="str">
        <v>하드웨어</v>
      </c>
      <c r="J47" t="str">
        <v>삼진스틸</v>
      </c>
      <c r="L47" t="str">
        <v>13905-06000</v>
      </c>
      <c r="M47" t="str">
        <v>SQ WD NUT</v>
      </c>
      <c r="N47">
        <v>2</v>
      </c>
      <c r="O47">
        <v>11.400000000000002</v>
      </c>
      <c r="P47">
        <v>960</v>
      </c>
      <c r="Q47">
        <v>21888.000000000004</v>
      </c>
      <c r="AC47">
        <v>0</v>
      </c>
      <c r="AE47">
        <v>21888.000000000004</v>
      </c>
    </row>
    <row r="48">
      <c r="A48" t="str">
        <v>인알파코리아</v>
      </c>
      <c r="B48" t="str">
        <v>IK</v>
      </c>
      <c r="C48" t="str">
        <v>50009977B</v>
      </c>
      <c r="D48" t="str">
        <v>BRACKET SIDE ASSY RH</v>
      </c>
      <c r="E48">
        <v>255.77777777777777</v>
      </c>
      <c r="F48">
        <v>960</v>
      </c>
      <c r="G48">
        <v>245546.66666666666</v>
      </c>
      <c r="J48" t="str">
        <v>인알파코리아</v>
      </c>
      <c r="K48" t="str">
        <v>IK</v>
      </c>
      <c r="L48" t="str">
        <v>50009977B</v>
      </c>
      <c r="M48" t="str">
        <v>BRACKET SIDE ASSY RH</v>
      </c>
      <c r="O48">
        <v>141.4</v>
      </c>
      <c r="AE48">
        <v>0</v>
      </c>
    </row>
    <row r="49">
      <c r="E49">
        <v>0</v>
      </c>
      <c r="F49">
        <v>0</v>
      </c>
      <c r="G49">
        <v>0</v>
      </c>
      <c r="H49" t="str">
        <v>협력업체 철판</v>
      </c>
      <c r="I49" t="str">
        <v>협력업체</v>
      </c>
      <c r="J49" t="str">
        <v>에이오에스</v>
      </c>
      <c r="K49" t="str">
        <v>IK</v>
      </c>
      <c r="L49" t="str">
        <v>50009977B</v>
      </c>
      <c r="M49" t="str">
        <v>BRACKET SIDE RH</v>
      </c>
      <c r="N49">
        <v>1</v>
      </c>
      <c r="O49">
        <v>130</v>
      </c>
      <c r="P49">
        <v>960</v>
      </c>
      <c r="Q49">
        <v>124800</v>
      </c>
      <c r="S49">
        <v>1144</v>
      </c>
      <c r="T49">
        <v>126</v>
      </c>
      <c r="U49" t="str">
        <v>SGARC340</v>
      </c>
      <c r="V49">
        <v>1.2</v>
      </c>
      <c r="W49">
        <v>348</v>
      </c>
      <c r="X49">
        <v>70</v>
      </c>
      <c r="Y49">
        <v>2</v>
      </c>
      <c r="Z49">
        <v>7.85</v>
      </c>
      <c r="AA49">
        <v>0.11</v>
      </c>
      <c r="AC49">
        <v>120960</v>
      </c>
      <c r="AE49">
        <v>3840</v>
      </c>
    </row>
    <row r="50">
      <c r="E50">
        <v>0</v>
      </c>
      <c r="F50">
        <v>0</v>
      </c>
      <c r="G50">
        <v>0</v>
      </c>
      <c r="I50" t="str">
        <v>하드웨어</v>
      </c>
      <c r="J50" t="str">
        <v>삼진스틸</v>
      </c>
      <c r="L50" t="str">
        <v>13905-06000</v>
      </c>
      <c r="M50" t="str">
        <v>SQ WD NUT</v>
      </c>
      <c r="N50">
        <v>2</v>
      </c>
      <c r="O50">
        <v>11.400000000000002</v>
      </c>
      <c r="P50">
        <v>960</v>
      </c>
      <c r="Q50">
        <v>21888.000000000004</v>
      </c>
      <c r="AC50">
        <v>0</v>
      </c>
      <c r="AE50">
        <v>21888.000000000004</v>
      </c>
    </row>
    <row r="51">
      <c r="A51" t="str">
        <v>인알파코리아</v>
      </c>
      <c r="B51" t="str">
        <v>IK</v>
      </c>
      <c r="C51" t="str">
        <v>50010025E</v>
      </c>
      <c r="D51" t="str">
        <v>ROLLO CASSETTE ASSY</v>
      </c>
      <c r="E51">
        <v>7374.142857142857</v>
      </c>
      <c r="F51">
        <v>960</v>
      </c>
      <c r="G51">
        <v>7079177.142857143</v>
      </c>
      <c r="J51" t="str">
        <v>인알파코리아</v>
      </c>
      <c r="K51" t="str">
        <v>IK</v>
      </c>
      <c r="L51" t="str">
        <v>50010025E</v>
      </c>
      <c r="M51" t="str">
        <v>ROLLO CASSETTE ASSY</v>
      </c>
      <c r="O51">
        <v>4223.9</v>
      </c>
      <c r="AE51">
        <v>0</v>
      </c>
    </row>
    <row r="52">
      <c r="E52">
        <v>0</v>
      </c>
      <c r="F52">
        <v>0</v>
      </c>
      <c r="G52">
        <v>0</v>
      </c>
      <c r="I52" t="str">
        <v>태창금속</v>
      </c>
      <c r="J52" t="str">
        <v>태창금속</v>
      </c>
      <c r="K52" t="str">
        <v>IK</v>
      </c>
      <c r="L52">
        <v>50010025</v>
      </c>
      <c r="M52" t="str">
        <v>ROLLO CASSETTE</v>
      </c>
      <c r="N52">
        <v>1</v>
      </c>
      <c r="O52">
        <v>3957</v>
      </c>
      <c r="P52">
        <v>960</v>
      </c>
      <c r="Q52">
        <v>3798720</v>
      </c>
      <c r="S52">
        <v>1130.6</v>
      </c>
      <c r="T52">
        <v>3957</v>
      </c>
      <c r="U52" t="str">
        <v>SGARC340</v>
      </c>
      <c r="V52">
        <v>1.2</v>
      </c>
      <c r="W52">
        <v>1040</v>
      </c>
      <c r="X52">
        <v>357</v>
      </c>
      <c r="Y52">
        <v>1</v>
      </c>
      <c r="Z52">
        <v>7.85</v>
      </c>
      <c r="AA52">
        <v>3.5</v>
      </c>
      <c r="AE52">
        <v>3798720</v>
      </c>
      <c r="AF52" t="str">
        <v>스크랩금액</v>
      </c>
      <c r="AG52">
        <v>960</v>
      </c>
      <c r="AH52">
        <v>1.427</v>
      </c>
      <c r="AI52">
        <v>362</v>
      </c>
      <c r="AJ52">
        <v>495911.04000000004</v>
      </c>
    </row>
    <row r="53">
      <c r="E53">
        <v>0</v>
      </c>
      <c r="F53">
        <v>0</v>
      </c>
      <c r="G53">
        <v>0</v>
      </c>
      <c r="I53" t="str">
        <v>하드웨어</v>
      </c>
      <c r="J53" t="str">
        <v>삼진스틸</v>
      </c>
      <c r="L53" t="str">
        <v>13905-06000</v>
      </c>
      <c r="M53" t="str">
        <v>SQ WD NUT</v>
      </c>
      <c r="N53">
        <v>15</v>
      </c>
      <c r="O53">
        <v>11.400000000000002</v>
      </c>
      <c r="P53">
        <v>960</v>
      </c>
      <c r="Q53">
        <v>164160.00000000003</v>
      </c>
      <c r="AE53">
        <v>164160.00000000003</v>
      </c>
    </row>
    <row r="54">
      <c r="E54">
        <v>0</v>
      </c>
      <c r="F54">
        <v>0</v>
      </c>
      <c r="G54">
        <v>0</v>
      </c>
      <c r="I54" t="str">
        <v>하드웨어</v>
      </c>
      <c r="J54" t="str">
        <v>대일CFT</v>
      </c>
      <c r="K54" t="str">
        <v>CK/IK</v>
      </c>
      <c r="L54">
        <v>50007752</v>
      </c>
      <c r="M54" t="str">
        <v>M5*16.7 BOLT</v>
      </c>
      <c r="N54">
        <v>6</v>
      </c>
      <c r="O54">
        <v>14.5</v>
      </c>
      <c r="P54">
        <v>960</v>
      </c>
      <c r="Q54">
        <v>83520</v>
      </c>
      <c r="AE54">
        <v>83520</v>
      </c>
    </row>
    <row r="55">
      <c r="E55">
        <v>0</v>
      </c>
      <c r="F55">
        <v>0</v>
      </c>
      <c r="G55">
        <v>0</v>
      </c>
      <c r="H55" t="str">
        <v>협력업체 철판</v>
      </c>
      <c r="I55" t="str">
        <v>협력업체</v>
      </c>
      <c r="J55" t="str">
        <v>에이오에스</v>
      </c>
      <c r="K55" t="str">
        <v>CK</v>
      </c>
      <c r="L55">
        <v>50009745</v>
      </c>
      <c r="M55" t="str">
        <v>B/K H/ LINER RR</v>
      </c>
      <c r="N55">
        <v>4</v>
      </c>
      <c r="O55">
        <v>57</v>
      </c>
      <c r="P55">
        <v>960</v>
      </c>
      <c r="Q55">
        <v>218880</v>
      </c>
      <c r="S55">
        <v>1006</v>
      </c>
      <c r="T55">
        <v>20</v>
      </c>
      <c r="U55" t="str">
        <v>SPCC</v>
      </c>
      <c r="V55">
        <v>1</v>
      </c>
      <c r="W55">
        <v>110</v>
      </c>
      <c r="X55">
        <v>26</v>
      </c>
      <c r="Y55">
        <v>1</v>
      </c>
      <c r="Z55">
        <v>7.85</v>
      </c>
      <c r="AA55">
        <v>0.02</v>
      </c>
      <c r="AC55">
        <v>19200</v>
      </c>
      <c r="AE55">
        <v>199680</v>
      </c>
    </row>
    <row r="56">
      <c r="E56">
        <v>0</v>
      </c>
      <c r="F56">
        <v>0</v>
      </c>
      <c r="G56">
        <v>0</v>
      </c>
      <c r="H56" t="str">
        <v>협력업체 철판</v>
      </c>
      <c r="I56" t="str">
        <v>협력업체</v>
      </c>
      <c r="J56" t="str">
        <v>에이오에스</v>
      </c>
      <c r="K56" t="str">
        <v>CK/IK</v>
      </c>
      <c r="L56">
        <v>50010027</v>
      </c>
      <c r="M56" t="str">
        <v>B/K FOR CONNECTOR</v>
      </c>
      <c r="N56">
        <v>1</v>
      </c>
      <c r="O56">
        <v>65</v>
      </c>
      <c r="P56">
        <v>960</v>
      </c>
      <c r="Q56">
        <v>62400</v>
      </c>
      <c r="S56">
        <v>1006</v>
      </c>
      <c r="T56">
        <v>10</v>
      </c>
      <c r="U56" t="str">
        <v>SPCC</v>
      </c>
      <c r="V56">
        <v>0.8</v>
      </c>
      <c r="W56">
        <v>85</v>
      </c>
      <c r="X56">
        <v>28</v>
      </c>
      <c r="Y56">
        <v>1</v>
      </c>
      <c r="Z56">
        <v>7.85</v>
      </c>
      <c r="AA56">
        <v>0.01</v>
      </c>
      <c r="AC56">
        <v>9600</v>
      </c>
      <c r="AE56">
        <v>52800</v>
      </c>
    </row>
    <row r="57">
      <c r="E57">
        <v>0</v>
      </c>
      <c r="F57">
        <v>0</v>
      </c>
      <c r="G57">
        <v>0</v>
      </c>
      <c r="H57" t="str">
        <v>협력업체 철판</v>
      </c>
      <c r="I57" t="str">
        <v>협력업체</v>
      </c>
      <c r="J57" t="str">
        <v>에이오에스</v>
      </c>
      <c r="K57" t="str">
        <v>IK</v>
      </c>
      <c r="L57">
        <v>50010086</v>
      </c>
      <c r="M57" t="str">
        <v>B/K FOR TUBE</v>
      </c>
      <c r="N57">
        <v>1</v>
      </c>
      <c r="O57">
        <v>39</v>
      </c>
      <c r="P57">
        <v>960</v>
      </c>
      <c r="Q57">
        <v>37440</v>
      </c>
      <c r="S57">
        <v>1006</v>
      </c>
      <c r="T57">
        <v>10</v>
      </c>
      <c r="U57" t="str">
        <v>SPCC</v>
      </c>
      <c r="V57">
        <v>1</v>
      </c>
      <c r="W57">
        <v>65</v>
      </c>
      <c r="X57">
        <v>23</v>
      </c>
      <c r="Y57">
        <v>1</v>
      </c>
      <c r="Z57">
        <v>7.85</v>
      </c>
      <c r="AA57">
        <v>0.01</v>
      </c>
      <c r="AC57">
        <v>9600</v>
      </c>
      <c r="AE57">
        <v>27840</v>
      </c>
    </row>
    <row r="58">
      <c r="E58">
        <v>0</v>
      </c>
      <c r="F58">
        <v>0</v>
      </c>
      <c r="G58">
        <v>0</v>
      </c>
      <c r="H58" t="str">
        <v>협력업체 철판</v>
      </c>
      <c r="I58" t="str">
        <v>협력업체</v>
      </c>
      <c r="J58" t="str">
        <v>에이오에스</v>
      </c>
      <c r="K58" t="str">
        <v>CK/IK</v>
      </c>
      <c r="L58">
        <v>50009877</v>
      </c>
      <c r="M58" t="str">
        <v>B/K ROLLO LH</v>
      </c>
      <c r="N58">
        <v>1</v>
      </c>
      <c r="O58">
        <v>40</v>
      </c>
      <c r="P58">
        <v>960</v>
      </c>
      <c r="Q58">
        <v>38400</v>
      </c>
      <c r="S58">
        <v>1006</v>
      </c>
      <c r="T58">
        <v>20</v>
      </c>
      <c r="U58" t="str">
        <v>SPCC</v>
      </c>
      <c r="V58">
        <v>1.2</v>
      </c>
      <c r="W58">
        <v>118</v>
      </c>
      <c r="X58">
        <v>35</v>
      </c>
      <c r="Y58">
        <v>2</v>
      </c>
      <c r="Z58">
        <v>7.85</v>
      </c>
      <c r="AA58">
        <v>0.02</v>
      </c>
      <c r="AC58">
        <v>19200</v>
      </c>
      <c r="AE58">
        <v>19200</v>
      </c>
    </row>
    <row r="59">
      <c r="E59">
        <v>0</v>
      </c>
      <c r="F59">
        <v>0</v>
      </c>
      <c r="G59">
        <v>0</v>
      </c>
      <c r="H59" t="str">
        <v>협력업체 철판</v>
      </c>
      <c r="I59" t="str">
        <v>협력업체</v>
      </c>
      <c r="J59" t="str">
        <v>에이오에스</v>
      </c>
      <c r="K59" t="str">
        <v>CK/IK</v>
      </c>
      <c r="L59">
        <v>50009878</v>
      </c>
      <c r="M59" t="str">
        <v>B/K ROLLO RH</v>
      </c>
      <c r="N59">
        <v>1</v>
      </c>
      <c r="O59">
        <v>40</v>
      </c>
      <c r="P59">
        <v>960</v>
      </c>
      <c r="Q59">
        <v>38400</v>
      </c>
      <c r="S59">
        <v>1006</v>
      </c>
      <c r="T59">
        <v>20</v>
      </c>
      <c r="U59" t="str">
        <v>SPCC</v>
      </c>
      <c r="V59">
        <v>1.2</v>
      </c>
      <c r="W59">
        <v>118</v>
      </c>
      <c r="X59">
        <v>35</v>
      </c>
      <c r="Y59">
        <v>2</v>
      </c>
      <c r="Z59">
        <v>7.85</v>
      </c>
      <c r="AA59">
        <v>0.02</v>
      </c>
      <c r="AC59">
        <v>19200</v>
      </c>
      <c r="AE59">
        <v>19200</v>
      </c>
    </row>
    <row r="60">
      <c r="A60" t="str">
        <v>인알파코리아</v>
      </c>
      <c r="B60" t="str">
        <v>LX2/ON</v>
      </c>
      <c r="C60" t="str">
        <v>50010382C</v>
      </c>
      <c r="D60" t="str">
        <v>MIDDLE BEAM B</v>
      </c>
      <c r="E60">
        <v>2789.468582929744</v>
      </c>
      <c r="F60">
        <v>15619</v>
      </c>
      <c r="G60">
        <v>43568709.79677967</v>
      </c>
      <c r="J60" t="str">
        <v>인알파코리아</v>
      </c>
      <c r="K60" t="str">
        <v>LX2/ON</v>
      </c>
      <c r="L60" t="str">
        <v>50010382C</v>
      </c>
      <c r="M60" t="str">
        <v>MIDDLE BEAM B</v>
      </c>
      <c r="O60">
        <v>1902</v>
      </c>
      <c r="AE60">
        <v>0</v>
      </c>
    </row>
    <row r="61">
      <c r="E61">
        <v>0</v>
      </c>
      <c r="F61">
        <v>0</v>
      </c>
      <c r="G61">
        <v>0</v>
      </c>
      <c r="I61" t="str">
        <v>태창금속</v>
      </c>
      <c r="J61" t="str">
        <v>태창금속</v>
      </c>
      <c r="K61" t="str">
        <v>LX2/ON-FRONT</v>
      </c>
      <c r="L61" t="str">
        <v>50010382C</v>
      </c>
      <c r="M61" t="str">
        <v>MIDDLE BEAM B</v>
      </c>
      <c r="N61">
        <v>1</v>
      </c>
      <c r="O61">
        <v>1902</v>
      </c>
      <c r="P61">
        <v>15619</v>
      </c>
      <c r="Q61">
        <v>29707338</v>
      </c>
      <c r="S61">
        <v>1001.2</v>
      </c>
      <c r="T61">
        <v>1902</v>
      </c>
      <c r="U61" t="str">
        <v>SPCC</v>
      </c>
      <c r="V61">
        <v>1</v>
      </c>
      <c r="W61">
        <v>1050</v>
      </c>
      <c r="X61">
        <v>230</v>
      </c>
      <c r="Y61">
        <v>1</v>
      </c>
      <c r="Z61">
        <v>7.85</v>
      </c>
      <c r="AA61">
        <v>1.9</v>
      </c>
      <c r="AE61">
        <v>29707338</v>
      </c>
      <c r="AF61" t="str">
        <v>스크랩금액</v>
      </c>
      <c r="AG61">
        <v>15619</v>
      </c>
      <c r="AH61">
        <v>0.9444</v>
      </c>
      <c r="AI61">
        <v>362</v>
      </c>
      <c r="AJ61">
        <v>5339711.2632</v>
      </c>
    </row>
    <row r="62">
      <c r="A62" t="str">
        <v>인알파코리아</v>
      </c>
      <c r="B62" t="str">
        <v>LX2/ON</v>
      </c>
      <c r="C62" t="str">
        <v>50010445D</v>
      </c>
      <c r="D62" t="str">
        <v>GLASS PANEL REINFORCEMENT</v>
      </c>
      <c r="E62">
        <v>7064.2084507042255</v>
      </c>
      <c r="F62">
        <v>15619</v>
      </c>
      <c r="G62">
        <v>110335871.7915493</v>
      </c>
      <c r="J62" t="str">
        <v>인알파코리아</v>
      </c>
      <c r="K62" t="str">
        <v>LX2/ON</v>
      </c>
      <c r="L62" t="str">
        <v>50010445D</v>
      </c>
      <c r="M62" t="str">
        <v>GLASS PANEL REINFORCEMENT</v>
      </c>
      <c r="O62">
        <v>6333</v>
      </c>
      <c r="AE62">
        <v>0</v>
      </c>
    </row>
    <row r="63">
      <c r="E63">
        <v>0</v>
      </c>
      <c r="F63">
        <v>0</v>
      </c>
      <c r="G63">
        <v>0</v>
      </c>
      <c r="I63" t="str">
        <v>태창금속</v>
      </c>
      <c r="J63" t="str">
        <v>태창금속</v>
      </c>
      <c r="K63" t="str">
        <v>LX2/ON</v>
      </c>
      <c r="L63" t="str">
        <v>50010445D</v>
      </c>
      <c r="M63" t="str">
        <v>GLASS PANEL REINFORCEMENT</v>
      </c>
      <c r="N63">
        <v>1</v>
      </c>
      <c r="O63">
        <v>6333</v>
      </c>
      <c r="P63">
        <v>15619</v>
      </c>
      <c r="Q63">
        <v>98915127</v>
      </c>
      <c r="S63">
        <v>1013.2</v>
      </c>
      <c r="T63">
        <v>6333</v>
      </c>
      <c r="U63" t="str">
        <v>SPCC</v>
      </c>
      <c r="V63">
        <v>1.2</v>
      </c>
      <c r="W63">
        <v>650</v>
      </c>
      <c r="X63">
        <v>1020</v>
      </c>
      <c r="Y63">
        <v>1</v>
      </c>
      <c r="Z63">
        <v>7.85</v>
      </c>
      <c r="AA63">
        <v>6.25</v>
      </c>
      <c r="AE63">
        <v>98915127</v>
      </c>
      <c r="AF63" t="str">
        <v>스크랩금액</v>
      </c>
      <c r="AG63">
        <v>15619</v>
      </c>
      <c r="AH63">
        <v>1.6834</v>
      </c>
      <c r="AI63">
        <v>362</v>
      </c>
      <c r="AJ63">
        <v>9518074.9052</v>
      </c>
    </row>
    <row r="64">
      <c r="A64" t="str">
        <v>인알파코리아</v>
      </c>
      <c r="B64" t="str">
        <v>LX2/ON</v>
      </c>
      <c r="C64" t="str">
        <v>50010562C</v>
      </c>
      <c r="D64" t="str">
        <v>ROLLO CASSETTE ASSY</v>
      </c>
      <c r="E64">
        <v>3458.8646616541355</v>
      </c>
      <c r="F64">
        <v>6706</v>
      </c>
      <c r="G64">
        <v>23195146.42105263</v>
      </c>
      <c r="J64" t="str">
        <v>인알파코리아</v>
      </c>
      <c r="K64" t="str">
        <v>LX2/ON</v>
      </c>
      <c r="L64" t="str">
        <v>50010562C</v>
      </c>
      <c r="M64" t="str">
        <v>ROLLO CASSETTE ASSY</v>
      </c>
      <c r="O64">
        <v>1673.3</v>
      </c>
      <c r="AE64">
        <v>0</v>
      </c>
    </row>
    <row r="65">
      <c r="E65">
        <v>0</v>
      </c>
      <c r="F65">
        <v>0</v>
      </c>
      <c r="G65">
        <v>0</v>
      </c>
      <c r="H65" t="str">
        <v>협력업체 철판</v>
      </c>
      <c r="I65" t="str">
        <v>협력업체</v>
      </c>
      <c r="J65" t="str">
        <v>태영금속</v>
      </c>
      <c r="K65" t="str">
        <v>LX2/ON-REAR</v>
      </c>
      <c r="L65" t="str">
        <v>50010562C</v>
      </c>
      <c r="M65" t="str">
        <v xml:space="preserve">ROLLO CASSETTE </v>
      </c>
      <c r="N65">
        <v>1</v>
      </c>
      <c r="O65">
        <v>785</v>
      </c>
      <c r="P65">
        <v>6706</v>
      </c>
      <c r="Q65">
        <v>5264210</v>
      </c>
      <c r="S65">
        <v>571</v>
      </c>
      <c r="T65">
        <v>554</v>
      </c>
      <c r="U65" t="str">
        <v>SPCC</v>
      </c>
      <c r="V65">
        <v>1</v>
      </c>
      <c r="W65">
        <v>880</v>
      </c>
      <c r="X65">
        <v>140</v>
      </c>
      <c r="Y65">
        <v>1</v>
      </c>
      <c r="Z65">
        <v>7.85</v>
      </c>
      <c r="AA65">
        <v>0.97</v>
      </c>
      <c r="AC65">
        <v>3715124</v>
      </c>
      <c r="AE65">
        <v>1549086</v>
      </c>
    </row>
    <row r="66">
      <c r="E66">
        <v>0</v>
      </c>
      <c r="F66">
        <v>0</v>
      </c>
      <c r="G66">
        <v>0</v>
      </c>
      <c r="H66" t="str">
        <v>협력업체 철판</v>
      </c>
      <c r="I66" t="str">
        <v>협력업체</v>
      </c>
      <c r="J66" t="str">
        <v>에이오에스</v>
      </c>
      <c r="K66" t="str">
        <v>ON</v>
      </c>
      <c r="L66">
        <v>50010992</v>
      </c>
      <c r="M66" t="str">
        <v>B/K ROLLO CASSETTE LH</v>
      </c>
      <c r="N66">
        <v>1</v>
      </c>
      <c r="O66">
        <v>398</v>
      </c>
      <c r="P66">
        <v>6706</v>
      </c>
      <c r="Q66">
        <v>2668988</v>
      </c>
      <c r="S66">
        <v>1006</v>
      </c>
      <c r="T66">
        <v>312</v>
      </c>
      <c r="U66" t="str">
        <v>SPCC</v>
      </c>
      <c r="V66">
        <v>1.4</v>
      </c>
      <c r="W66">
        <v>303</v>
      </c>
      <c r="X66">
        <v>187</v>
      </c>
      <c r="Y66">
        <v>2</v>
      </c>
      <c r="Z66">
        <v>7.85</v>
      </c>
      <c r="AA66">
        <v>0.31</v>
      </c>
      <c r="AC66">
        <v>2092272</v>
      </c>
      <c r="AE66">
        <v>576716</v>
      </c>
    </row>
    <row r="67">
      <c r="E67">
        <v>0</v>
      </c>
      <c r="F67">
        <v>0</v>
      </c>
      <c r="G67">
        <v>0</v>
      </c>
      <c r="H67" t="str">
        <v>협력업체 철판</v>
      </c>
      <c r="I67" t="str">
        <v>협력업체</v>
      </c>
      <c r="J67" t="str">
        <v>에이오에스</v>
      </c>
      <c r="K67" t="str">
        <v>ON</v>
      </c>
      <c r="L67">
        <v>50010993</v>
      </c>
      <c r="M67" t="str">
        <v>B/K ROLLO CASSETTE RH</v>
      </c>
      <c r="N67">
        <v>1</v>
      </c>
      <c r="O67">
        <v>398</v>
      </c>
      <c r="P67">
        <v>6706</v>
      </c>
      <c r="Q67">
        <v>2668988</v>
      </c>
      <c r="S67">
        <v>1006</v>
      </c>
      <c r="T67">
        <v>312</v>
      </c>
      <c r="U67" t="str">
        <v>SPCC</v>
      </c>
      <c r="V67">
        <v>1.4</v>
      </c>
      <c r="W67">
        <v>303</v>
      </c>
      <c r="X67">
        <v>187</v>
      </c>
      <c r="Y67">
        <v>2</v>
      </c>
      <c r="Z67">
        <v>7.85</v>
      </c>
      <c r="AA67">
        <v>0.31</v>
      </c>
      <c r="AC67">
        <v>2092272</v>
      </c>
      <c r="AE67">
        <v>576716</v>
      </c>
    </row>
    <row r="68">
      <c r="E68">
        <v>0</v>
      </c>
      <c r="F68">
        <v>0</v>
      </c>
      <c r="G68">
        <v>0</v>
      </c>
      <c r="H68" t="str">
        <v>협력업체 철판</v>
      </c>
      <c r="I68" t="str">
        <v>하드웨어</v>
      </c>
      <c r="J68" t="str">
        <v>삼진스틸</v>
      </c>
      <c r="L68" t="str">
        <v>13905-05000</v>
      </c>
      <c r="M68" t="str">
        <v>SQ WD NUT</v>
      </c>
      <c r="N68">
        <v>12</v>
      </c>
      <c r="O68">
        <v>10.3</v>
      </c>
      <c r="P68">
        <v>6706</v>
      </c>
      <c r="Q68">
        <v>828861.6000000001</v>
      </c>
      <c r="AE68">
        <v>828861.6000000001</v>
      </c>
    </row>
    <row r="69">
      <c r="E69">
        <v>0</v>
      </c>
      <c r="F69">
        <v>0</v>
      </c>
      <c r="G69">
        <v>0</v>
      </c>
      <c r="H69" t="str">
        <v>협력업체 철판</v>
      </c>
      <c r="I69" t="str">
        <v>협력업체</v>
      </c>
      <c r="J69" t="str">
        <v>에이오에스</v>
      </c>
      <c r="K69" t="str">
        <v>ON</v>
      </c>
      <c r="L69">
        <v>50010567</v>
      </c>
      <c r="M69" t="str">
        <v>BRKT ROLLO LH</v>
      </c>
      <c r="N69">
        <v>1</v>
      </c>
      <c r="O69">
        <v>41</v>
      </c>
      <c r="P69">
        <v>6706</v>
      </c>
      <c r="Q69">
        <v>274946</v>
      </c>
      <c r="S69">
        <v>1006</v>
      </c>
      <c r="T69">
        <v>20</v>
      </c>
      <c r="U69" t="str">
        <v>SPCC</v>
      </c>
      <c r="V69">
        <v>1.2</v>
      </c>
      <c r="W69">
        <v>108</v>
      </c>
      <c r="X69">
        <v>45</v>
      </c>
      <c r="Y69">
        <v>2</v>
      </c>
      <c r="Z69">
        <v>7.85</v>
      </c>
      <c r="AA69">
        <v>0.02</v>
      </c>
      <c r="AC69">
        <v>134120</v>
      </c>
      <c r="AE69">
        <v>140826</v>
      </c>
    </row>
    <row r="70">
      <c r="E70">
        <v>0</v>
      </c>
      <c r="F70">
        <v>0</v>
      </c>
      <c r="G70">
        <v>0</v>
      </c>
      <c r="H70" t="str">
        <v>협력업체 철판</v>
      </c>
      <c r="I70" t="str">
        <v>협력업체</v>
      </c>
      <c r="J70" t="str">
        <v>에이오에스</v>
      </c>
      <c r="K70" t="str">
        <v>ON</v>
      </c>
      <c r="L70">
        <v>50010569</v>
      </c>
      <c r="M70" t="str">
        <v>BRKT ROLLO RH</v>
      </c>
      <c r="N70">
        <v>1</v>
      </c>
      <c r="O70">
        <v>41</v>
      </c>
      <c r="P70">
        <v>6706</v>
      </c>
      <c r="Q70">
        <v>274946</v>
      </c>
      <c r="S70">
        <v>1006</v>
      </c>
      <c r="T70">
        <v>20</v>
      </c>
      <c r="U70" t="str">
        <v>SPCC</v>
      </c>
      <c r="V70">
        <v>1.2</v>
      </c>
      <c r="W70">
        <v>108</v>
      </c>
      <c r="X70">
        <v>45</v>
      </c>
      <c r="Y70">
        <v>2</v>
      </c>
      <c r="Z70">
        <v>7.85</v>
      </c>
      <c r="AA70">
        <v>0.02</v>
      </c>
      <c r="AC70">
        <v>134120</v>
      </c>
      <c r="AE70">
        <v>140826</v>
      </c>
    </row>
    <row r="71">
      <c r="A71" t="str">
        <v>인알파코리아</v>
      </c>
      <c r="B71" t="str">
        <v>QX</v>
      </c>
      <c r="C71" t="str">
        <v>50010755C</v>
      </c>
      <c r="D71" t="str">
        <v>MIDDLE BEAM</v>
      </c>
      <c r="E71">
        <v>3330.2911392405063</v>
      </c>
      <c r="F71">
        <v>9130</v>
      </c>
      <c r="G71">
        <v>30405558.10126582</v>
      </c>
      <c r="J71" t="str">
        <v>인알파코리아</v>
      </c>
      <c r="K71" t="str">
        <v>QX</v>
      </c>
      <c r="L71" t="str">
        <v>50010755C</v>
      </c>
      <c r="M71" t="str">
        <v>MIDDLE BEAM</v>
      </c>
      <c r="O71">
        <v>2644</v>
      </c>
      <c r="AE71">
        <v>0</v>
      </c>
    </row>
    <row r="72">
      <c r="E72">
        <v>0</v>
      </c>
      <c r="F72">
        <v>0</v>
      </c>
      <c r="G72">
        <v>0</v>
      </c>
      <c r="H72" t="str">
        <v>협력업체 철판</v>
      </c>
      <c r="I72" t="str">
        <v>협력업체</v>
      </c>
      <c r="J72" t="str">
        <v>창경에스테크</v>
      </c>
      <c r="K72" t="str">
        <v>QX</v>
      </c>
      <c r="L72" t="str">
        <v>50010755C</v>
      </c>
      <c r="M72" t="str">
        <v>MIDDLE BEAM</v>
      </c>
      <c r="N72">
        <v>1</v>
      </c>
      <c r="O72">
        <v>2644</v>
      </c>
      <c r="P72">
        <v>9130</v>
      </c>
      <c r="Q72">
        <v>24139720</v>
      </c>
      <c r="S72">
        <v>1011.5999999999999</v>
      </c>
      <c r="T72">
        <v>2387</v>
      </c>
      <c r="U72" t="str">
        <v>SPCC</v>
      </c>
      <c r="V72">
        <v>1</v>
      </c>
      <c r="W72">
        <v>1000</v>
      </c>
      <c r="X72">
        <v>300</v>
      </c>
      <c r="Y72">
        <v>1</v>
      </c>
      <c r="Z72">
        <v>7.85</v>
      </c>
      <c r="AA72">
        <v>2.36</v>
      </c>
      <c r="AC72">
        <v>21793310</v>
      </c>
      <c r="AE72">
        <v>2346410</v>
      </c>
    </row>
    <row r="73">
      <c r="A73" t="str">
        <v>인알파코리아</v>
      </c>
      <c r="B73" t="str">
        <v>QX</v>
      </c>
      <c r="C73" t="str">
        <v>50010779B</v>
      </c>
      <c r="D73" t="str">
        <v>GLASS REINFORCEMENT</v>
      </c>
      <c r="E73">
        <v>4843.873883206008</v>
      </c>
      <c r="F73">
        <v>9130</v>
      </c>
      <c r="G73">
        <v>44224568.55367085</v>
      </c>
      <c r="J73" t="str">
        <v>인알파코리아</v>
      </c>
      <c r="K73" t="str">
        <v>QX</v>
      </c>
      <c r="L73" t="str">
        <v>50010779B</v>
      </c>
      <c r="M73" t="str">
        <v>GLASS REINFORCEMENT</v>
      </c>
      <c r="O73">
        <v>3787</v>
      </c>
      <c r="AE73">
        <v>0</v>
      </c>
    </row>
    <row r="74">
      <c r="E74">
        <v>0</v>
      </c>
      <c r="F74">
        <v>0</v>
      </c>
      <c r="G74">
        <v>0</v>
      </c>
      <c r="I74" t="str">
        <v>태창금속</v>
      </c>
      <c r="J74" t="str">
        <v>태창금속</v>
      </c>
      <c r="K74" t="str">
        <v>QX</v>
      </c>
      <c r="L74" t="str">
        <v>50010779B</v>
      </c>
      <c r="M74" t="str">
        <v>GLASS REINFORCEMENT</v>
      </c>
      <c r="N74">
        <v>1</v>
      </c>
      <c r="O74">
        <v>3787</v>
      </c>
      <c r="P74">
        <v>9130</v>
      </c>
      <c r="Q74">
        <v>34575310</v>
      </c>
      <c r="S74">
        <v>1104.2</v>
      </c>
      <c r="T74">
        <v>3787</v>
      </c>
      <c r="U74" t="str">
        <v>SGACC</v>
      </c>
      <c r="V74">
        <v>1</v>
      </c>
      <c r="W74">
        <v>520</v>
      </c>
      <c r="X74">
        <v>840</v>
      </c>
      <c r="Y74">
        <v>1</v>
      </c>
      <c r="Z74">
        <v>7.85</v>
      </c>
      <c r="AA74">
        <v>3.43</v>
      </c>
      <c r="AE74">
        <v>34575310</v>
      </c>
      <c r="AF74" t="str">
        <v>스크랩금액</v>
      </c>
      <c r="AG74">
        <v>9130</v>
      </c>
      <c r="AH74">
        <v>2.208</v>
      </c>
      <c r="AI74">
        <v>362</v>
      </c>
      <c r="AJ74">
        <v>7297572.48</v>
      </c>
    </row>
    <row r="75">
      <c r="A75" t="str">
        <v>인알파코리아</v>
      </c>
      <c r="B75" t="str">
        <v>LX2</v>
      </c>
      <c r="C75" t="str">
        <v>50010980B</v>
      </c>
      <c r="D75" t="str">
        <v>MIDDLE BEAM C</v>
      </c>
      <c r="E75">
        <v>3170</v>
      </c>
      <c r="F75">
        <v>108</v>
      </c>
      <c r="G75">
        <v>342360</v>
      </c>
      <c r="J75" t="str">
        <v>인알파코리아</v>
      </c>
      <c r="K75" t="str">
        <v>LX2-FRONT</v>
      </c>
      <c r="L75" t="str">
        <v>50010980B</v>
      </c>
      <c r="M75" t="str">
        <v>MIDDLE BEAM C</v>
      </c>
      <c r="O75">
        <v>2093</v>
      </c>
      <c r="AE75">
        <v>0</v>
      </c>
    </row>
    <row r="76">
      <c r="E76">
        <v>0</v>
      </c>
      <c r="F76">
        <v>0</v>
      </c>
      <c r="G76">
        <v>0</v>
      </c>
      <c r="I76" t="str">
        <v>태창금속</v>
      </c>
      <c r="J76" t="str">
        <v>태창금속</v>
      </c>
      <c r="K76" t="str">
        <v>LX2-FRONT</v>
      </c>
      <c r="L76">
        <v>50010980</v>
      </c>
      <c r="M76" t="str">
        <v>MIDDLE BEAM C</v>
      </c>
      <c r="N76">
        <v>1</v>
      </c>
      <c r="O76">
        <v>2093</v>
      </c>
      <c r="P76">
        <v>108</v>
      </c>
      <c r="Q76">
        <v>226044</v>
      </c>
      <c r="S76">
        <v>1001.2</v>
      </c>
      <c r="T76">
        <v>2093</v>
      </c>
      <c r="U76" t="str">
        <v>SPCC</v>
      </c>
      <c r="V76">
        <v>1.4</v>
      </c>
      <c r="W76">
        <v>950</v>
      </c>
      <c r="X76">
        <v>200</v>
      </c>
      <c r="Y76">
        <v>1</v>
      </c>
      <c r="Z76">
        <v>7.85</v>
      </c>
      <c r="AA76">
        <v>2.09</v>
      </c>
      <c r="AE76">
        <v>226044</v>
      </c>
      <c r="AF76" t="str">
        <v>스크랩금액</v>
      </c>
      <c r="AG76">
        <v>108</v>
      </c>
      <c r="AH76">
        <v>1.378</v>
      </c>
      <c r="AI76">
        <v>362</v>
      </c>
      <c r="AJ76">
        <v>53874.28799999999</v>
      </c>
    </row>
    <row r="77">
      <c r="A77" t="str">
        <v>인알파코리아</v>
      </c>
      <c r="B77" t="str">
        <v>SU2 S</v>
      </c>
      <c r="C77" t="str">
        <v>50011444F</v>
      </c>
      <c r="D77" t="str">
        <v>GLASS REINFORCEMENT</v>
      </c>
      <c r="E77">
        <v>9640.125</v>
      </c>
      <c r="F77">
        <v>3840</v>
      </c>
      <c r="G77">
        <v>37018080</v>
      </c>
      <c r="J77" t="str">
        <v>인알파코리아</v>
      </c>
      <c r="K77" t="str">
        <v>SU2i</v>
      </c>
      <c r="L77" t="str">
        <v>50011444D</v>
      </c>
      <c r="M77" t="str">
        <v>GLASS REINFORCEMENT</v>
      </c>
      <c r="O77">
        <v>8447</v>
      </c>
    </row>
    <row r="78">
      <c r="E78">
        <v>0</v>
      </c>
      <c r="F78">
        <v>0</v>
      </c>
      <c r="G78">
        <v>0</v>
      </c>
      <c r="I78" t="str">
        <v>태창금속</v>
      </c>
      <c r="J78" t="str">
        <v>태창금속</v>
      </c>
      <c r="K78" t="str">
        <v>SU2i</v>
      </c>
      <c r="L78" t="str">
        <v>50011444D</v>
      </c>
      <c r="M78" t="str">
        <v>GLASS REINFORCEMENT</v>
      </c>
      <c r="N78">
        <v>1</v>
      </c>
      <c r="O78">
        <v>8447</v>
      </c>
      <c r="P78">
        <v>3840</v>
      </c>
      <c r="Q78">
        <v>32436480</v>
      </c>
      <c r="S78">
        <v>1011.5999999999999</v>
      </c>
      <c r="T78">
        <v>8447</v>
      </c>
      <c r="U78" t="str">
        <v>SPCC</v>
      </c>
      <c r="V78">
        <v>1.6</v>
      </c>
      <c r="W78">
        <v>700</v>
      </c>
      <c r="X78">
        <v>950</v>
      </c>
      <c r="Y78">
        <v>1</v>
      </c>
      <c r="Z78">
        <v>7.85</v>
      </c>
      <c r="AA78">
        <v>8.35</v>
      </c>
      <c r="AF78" t="str">
        <v>스크랩금액</v>
      </c>
      <c r="AG78">
        <v>9640.125</v>
      </c>
      <c r="AH78">
        <v>6.148</v>
      </c>
      <c r="AI78">
        <v>362</v>
      </c>
      <c r="AJ78">
        <v>21454830.837</v>
      </c>
    </row>
    <row r="79">
      <c r="A79" t="str">
        <v>인알파코리아</v>
      </c>
      <c r="B79" t="str">
        <v>SU2 S</v>
      </c>
      <c r="C79" t="str">
        <v>50011449F</v>
      </c>
      <c r="D79" t="str">
        <v>GLASS REINFORCEMENT REAR</v>
      </c>
      <c r="E79">
        <v>8396.473684210527</v>
      </c>
      <c r="F79">
        <v>3840</v>
      </c>
      <c r="G79">
        <v>32242458.94736842</v>
      </c>
      <c r="J79" t="str">
        <v>인알파코리아</v>
      </c>
      <c r="K79" t="str">
        <v>SU2i</v>
      </c>
      <c r="L79" t="str">
        <v>50011449D</v>
      </c>
      <c r="M79" t="str">
        <v>GLASS REINFORCEMENT REAR</v>
      </c>
      <c r="O79">
        <v>7375</v>
      </c>
    </row>
    <row r="80">
      <c r="E80">
        <v>0</v>
      </c>
      <c r="F80">
        <v>0</v>
      </c>
      <c r="G80">
        <v>0</v>
      </c>
      <c r="I80" t="str">
        <v>태창금속</v>
      </c>
      <c r="J80" t="str">
        <v>태창금속</v>
      </c>
      <c r="K80" t="str">
        <v>SU2i</v>
      </c>
      <c r="L80" t="str">
        <v>50011449D</v>
      </c>
      <c r="M80" t="str">
        <v>GLASS REINFORCEMENT REAR</v>
      </c>
      <c r="N80">
        <v>1</v>
      </c>
      <c r="O80">
        <v>7375</v>
      </c>
      <c r="P80">
        <v>3840</v>
      </c>
      <c r="Q80">
        <v>28320000</v>
      </c>
      <c r="S80">
        <v>1011.5999999999999</v>
      </c>
      <c r="T80">
        <v>7375</v>
      </c>
      <c r="U80" t="str">
        <v>SPCC</v>
      </c>
      <c r="V80">
        <v>1.2</v>
      </c>
      <c r="W80">
        <v>815</v>
      </c>
      <c r="X80">
        <v>950</v>
      </c>
      <c r="Y80">
        <v>1</v>
      </c>
      <c r="Z80">
        <v>7.85</v>
      </c>
      <c r="AA80">
        <v>7.29</v>
      </c>
      <c r="AF80" t="str">
        <v>스크랩금액</v>
      </c>
      <c r="AG80">
        <v>8396.473684210527</v>
      </c>
      <c r="AH80">
        <v>6.119</v>
      </c>
      <c r="AI80">
        <v>362</v>
      </c>
      <c r="AJ80">
        <v>18598844.135473687</v>
      </c>
    </row>
    <row r="81">
      <c r="A81" t="str">
        <v>인알파코리아</v>
      </c>
      <c r="B81" t="str">
        <v>SU2 S</v>
      </c>
      <c r="C81" t="str">
        <v>50011644C</v>
      </c>
      <c r="D81" t="str">
        <v xml:space="preserve">ROLLO COVER ASSY </v>
      </c>
      <c r="E81">
        <v>2479.5</v>
      </c>
      <c r="F81">
        <v>3840</v>
      </c>
      <c r="G81">
        <v>9521280</v>
      </c>
      <c r="J81" t="str">
        <v>인알파코리아</v>
      </c>
      <c r="K81" t="str">
        <v>SU2 SWB</v>
      </c>
      <c r="L81" t="str">
        <v>50011644C</v>
      </c>
      <c r="M81" t="str">
        <v>ROLLO COVER ASSY</v>
      </c>
      <c r="O81">
        <v>1660</v>
      </c>
    </row>
    <row r="82">
      <c r="E82">
        <v>0</v>
      </c>
      <c r="F82">
        <v>0</v>
      </c>
      <c r="G82">
        <v>0</v>
      </c>
      <c r="I82" t="str">
        <v>태창금속</v>
      </c>
      <c r="J82" t="str">
        <v>태창금속</v>
      </c>
      <c r="K82" t="str">
        <v>SU2 SWB</v>
      </c>
      <c r="L82" t="str">
        <v>50011644C</v>
      </c>
      <c r="M82" t="str">
        <v>ROLLO COVER</v>
      </c>
      <c r="N82">
        <v>1</v>
      </c>
      <c r="O82">
        <v>1572</v>
      </c>
      <c r="P82">
        <v>3840</v>
      </c>
      <c r="Q82">
        <v>6036480</v>
      </c>
      <c r="S82">
        <v>1001.2</v>
      </c>
      <c r="T82">
        <v>1572</v>
      </c>
      <c r="U82" t="str">
        <v>SPCC</v>
      </c>
      <c r="V82">
        <v>1</v>
      </c>
      <c r="W82">
        <v>1000</v>
      </c>
      <c r="X82">
        <v>200</v>
      </c>
      <c r="Y82">
        <v>1</v>
      </c>
      <c r="Z82">
        <v>7.85</v>
      </c>
      <c r="AA82">
        <v>1.57</v>
      </c>
      <c r="AE82">
        <v>6036480</v>
      </c>
      <c r="AF82" t="str">
        <v>스크랩금액</v>
      </c>
      <c r="AG82">
        <v>3840</v>
      </c>
      <c r="AH82">
        <v>1.174</v>
      </c>
      <c r="AI82">
        <v>362</v>
      </c>
      <c r="AJ82">
        <v>1631953.92</v>
      </c>
    </row>
    <row r="83">
      <c r="E83">
        <v>0</v>
      </c>
      <c r="F83">
        <v>0</v>
      </c>
      <c r="G83">
        <v>0</v>
      </c>
      <c r="H83" t="str">
        <v>협력업체 철판</v>
      </c>
      <c r="I83" t="str">
        <v>협력업체</v>
      </c>
      <c r="J83" t="str">
        <v>에이오에스</v>
      </c>
      <c r="K83" t="str">
        <v>SU2i</v>
      </c>
      <c r="L83">
        <v>50011800</v>
      </c>
      <c r="M83" t="str">
        <v>B/K ROLLO-LH</v>
      </c>
      <c r="N83">
        <v>1</v>
      </c>
      <c r="O83">
        <v>44</v>
      </c>
      <c r="P83">
        <v>3840</v>
      </c>
      <c r="Q83">
        <v>168960</v>
      </c>
      <c r="S83">
        <v>1006</v>
      </c>
      <c r="T83">
        <v>30</v>
      </c>
      <c r="U83" t="str">
        <v>SPCC</v>
      </c>
      <c r="V83">
        <v>1.2</v>
      </c>
      <c r="W83">
        <v>105</v>
      </c>
      <c r="X83">
        <v>30</v>
      </c>
      <c r="Y83">
        <v>1</v>
      </c>
      <c r="Z83">
        <v>7.85</v>
      </c>
      <c r="AA83">
        <v>0.03</v>
      </c>
      <c r="AC83">
        <v>115200</v>
      </c>
      <c r="AE83">
        <v>53760</v>
      </c>
    </row>
    <row r="84">
      <c r="E84">
        <v>0</v>
      </c>
      <c r="F84">
        <v>0</v>
      </c>
      <c r="G84">
        <v>0</v>
      </c>
      <c r="H84" t="str">
        <v>협력업체 철판</v>
      </c>
      <c r="I84" t="str">
        <v>협력업체</v>
      </c>
      <c r="J84" t="str">
        <v>에이오에스</v>
      </c>
      <c r="K84" t="str">
        <v>SU2i</v>
      </c>
      <c r="L84">
        <v>50011801</v>
      </c>
      <c r="M84" t="str">
        <v>B/K ROLLO-RH</v>
      </c>
      <c r="N84">
        <v>1</v>
      </c>
      <c r="O84">
        <v>44</v>
      </c>
      <c r="P84">
        <v>3840</v>
      </c>
      <c r="Q84">
        <v>168960</v>
      </c>
      <c r="S84">
        <v>1006</v>
      </c>
      <c r="T84">
        <v>30</v>
      </c>
      <c r="U84" t="str">
        <v>SPCC</v>
      </c>
      <c r="V84">
        <v>1.2</v>
      </c>
      <c r="W84">
        <v>105</v>
      </c>
      <c r="X84">
        <v>30</v>
      </c>
      <c r="Y84">
        <v>1</v>
      </c>
      <c r="Z84">
        <v>7.85</v>
      </c>
      <c r="AA84">
        <v>0.03</v>
      </c>
      <c r="AC84">
        <v>115200</v>
      </c>
      <c r="AE84">
        <v>53760</v>
      </c>
    </row>
    <row r="85">
      <c r="A85" t="str">
        <v>인알파코리아</v>
      </c>
      <c r="B85" t="str">
        <v>JK</v>
      </c>
      <c r="C85" t="str">
        <v>50011721D</v>
      </c>
      <c r="D85" t="str">
        <v>ROLLO CASSETTE ASSY</v>
      </c>
      <c r="E85">
        <v>3136</v>
      </c>
      <c r="F85">
        <v>5174</v>
      </c>
      <c r="G85">
        <v>16225664</v>
      </c>
      <c r="J85" t="str">
        <v>인알파코리아</v>
      </c>
      <c r="K85" t="str">
        <v>JK</v>
      </c>
      <c r="L85" t="str">
        <v>50011721D</v>
      </c>
      <c r="M85" t="str">
        <v>ROLLO CASSETTE ASSY</v>
      </c>
      <c r="O85">
        <v>1832</v>
      </c>
      <c r="AE85">
        <v>0</v>
      </c>
    </row>
    <row r="86">
      <c r="E86">
        <v>0</v>
      </c>
      <c r="F86">
        <v>0</v>
      </c>
      <c r="G86">
        <v>0</v>
      </c>
      <c r="H86" t="str">
        <v>협력업체 철판</v>
      </c>
      <c r="I86" t="str">
        <v>협력업체</v>
      </c>
      <c r="J86" t="str">
        <v>창경에스테크</v>
      </c>
      <c r="K86" t="str">
        <v>JK</v>
      </c>
      <c r="L86" t="str">
        <v>50011721D</v>
      </c>
      <c r="M86" t="str">
        <v>ROLLO CASSETTE ASSY</v>
      </c>
      <c r="N86">
        <v>1</v>
      </c>
      <c r="O86">
        <v>1832</v>
      </c>
      <c r="P86">
        <v>5174</v>
      </c>
      <c r="Q86">
        <v>9478768</v>
      </c>
      <c r="S86">
        <v>1001.2</v>
      </c>
      <c r="T86">
        <v>1832</v>
      </c>
      <c r="U86" t="str">
        <v>SPCC</v>
      </c>
      <c r="V86">
        <v>1</v>
      </c>
      <c r="W86">
        <v>930</v>
      </c>
      <c r="X86">
        <v>250</v>
      </c>
      <c r="Y86">
        <v>1</v>
      </c>
      <c r="Z86">
        <v>7.85</v>
      </c>
      <c r="AA86">
        <v>1.83</v>
      </c>
      <c r="AC86">
        <v>9478768</v>
      </c>
      <c r="AE86">
        <v>0</v>
      </c>
    </row>
    <row r="87">
      <c r="A87" t="str">
        <v>인알파코리아</v>
      </c>
      <c r="B87" t="str">
        <v>JK S/B</v>
      </c>
      <c r="C87" t="str">
        <v>50014463A</v>
      </c>
      <c r="D87" t="str">
        <v>ROLLO CASSETTE ASSY</v>
      </c>
      <c r="E87">
        <v>5096</v>
      </c>
      <c r="F87">
        <v>624</v>
      </c>
      <c r="G87">
        <v>3179904</v>
      </c>
      <c r="J87" t="str">
        <v>인알파코리아</v>
      </c>
      <c r="K87" t="str">
        <v>JK S/B</v>
      </c>
      <c r="L87" t="str">
        <v>50014463A</v>
      </c>
      <c r="M87" t="str">
        <v>ROLLO CASSETTE ASSY</v>
      </c>
      <c r="O87">
        <v>3104</v>
      </c>
      <c r="AE87">
        <v>0</v>
      </c>
    </row>
    <row r="88">
      <c r="E88">
        <v>0</v>
      </c>
      <c r="F88">
        <v>0</v>
      </c>
      <c r="G88">
        <v>0</v>
      </c>
      <c r="I88" t="str">
        <v>태창금속</v>
      </c>
      <c r="J88" t="str">
        <v>태창금속</v>
      </c>
      <c r="K88" t="str">
        <v>JK S/B</v>
      </c>
      <c r="L88" t="str">
        <v>50014463A</v>
      </c>
      <c r="M88" t="str">
        <v>ROLLO CASSETTE ASSY</v>
      </c>
      <c r="N88">
        <v>1</v>
      </c>
      <c r="O88">
        <v>3104</v>
      </c>
      <c r="P88">
        <v>624</v>
      </c>
      <c r="Q88">
        <v>1936896</v>
      </c>
      <c r="S88">
        <v>1001.2</v>
      </c>
      <c r="T88">
        <v>3104</v>
      </c>
      <c r="U88" t="str">
        <v>SPCC</v>
      </c>
      <c r="V88">
        <v>1.2</v>
      </c>
      <c r="W88">
        <v>1030</v>
      </c>
      <c r="X88">
        <v>320</v>
      </c>
      <c r="Y88">
        <v>1</v>
      </c>
      <c r="Z88">
        <v>7.85</v>
      </c>
      <c r="AA88">
        <v>3.1</v>
      </c>
      <c r="AE88">
        <v>1936896</v>
      </c>
      <c r="AF88" t="str">
        <v>스크랩금액</v>
      </c>
      <c r="AG88">
        <v>624</v>
      </c>
      <c r="AI88">
        <v>362</v>
      </c>
      <c r="AJ88">
        <v>0</v>
      </c>
    </row>
    <row r="89">
      <c r="E89">
        <v>0</v>
      </c>
      <c r="F89">
        <v>0</v>
      </c>
      <c r="H89" t="str">
        <v>협력업체 철판</v>
      </c>
      <c r="I89" t="str">
        <v>협력업체</v>
      </c>
      <c r="J89" t="str">
        <v>에이오에스</v>
      </c>
      <c r="K89" t="str">
        <v>SU2i</v>
      </c>
      <c r="L89">
        <v>50011800</v>
      </c>
      <c r="M89" t="str">
        <v>B/K ROLLO-LH</v>
      </c>
      <c r="N89">
        <v>1</v>
      </c>
      <c r="O89">
        <v>44</v>
      </c>
      <c r="P89">
        <v>624</v>
      </c>
      <c r="Q89">
        <v>27456</v>
      </c>
      <c r="S89">
        <v>1006</v>
      </c>
      <c r="T89">
        <v>30</v>
      </c>
      <c r="U89" t="str">
        <v>SPCC</v>
      </c>
      <c r="V89">
        <v>1.2</v>
      </c>
      <c r="W89">
        <v>105</v>
      </c>
      <c r="X89">
        <v>30</v>
      </c>
      <c r="Y89">
        <v>1</v>
      </c>
      <c r="Z89">
        <v>7.85</v>
      </c>
      <c r="AA89">
        <v>0.03</v>
      </c>
      <c r="AC89">
        <v>18720</v>
      </c>
      <c r="AE89">
        <v>8736</v>
      </c>
    </row>
    <row r="90">
      <c r="E90">
        <v>0</v>
      </c>
      <c r="F90">
        <v>0</v>
      </c>
      <c r="H90" t="str">
        <v>협력업체 철판</v>
      </c>
      <c r="I90" t="str">
        <v>협력업체</v>
      </c>
      <c r="J90" t="str">
        <v>에이오에스</v>
      </c>
      <c r="K90" t="str">
        <v>SU2i</v>
      </c>
      <c r="L90">
        <v>50011801</v>
      </c>
      <c r="M90" t="str">
        <v>B/K ROLLO-RH</v>
      </c>
      <c r="N90">
        <v>1</v>
      </c>
      <c r="O90">
        <v>44</v>
      </c>
      <c r="P90">
        <v>624</v>
      </c>
      <c r="Q90">
        <v>27456</v>
      </c>
      <c r="S90">
        <v>1006</v>
      </c>
      <c r="T90">
        <v>30</v>
      </c>
      <c r="U90" t="str">
        <v>SPCC</v>
      </c>
      <c r="V90">
        <v>1.2</v>
      </c>
      <c r="W90">
        <v>105</v>
      </c>
      <c r="X90">
        <v>30</v>
      </c>
      <c r="Y90">
        <v>1</v>
      </c>
      <c r="Z90">
        <v>7.85</v>
      </c>
      <c r="AA90">
        <v>0.03</v>
      </c>
      <c r="AC90">
        <v>18720</v>
      </c>
      <c r="AE90">
        <v>8736</v>
      </c>
    </row>
    <row r="91">
      <c r="A91" t="str">
        <v>인알파코리아</v>
      </c>
      <c r="B91" t="str">
        <v>ON-F</v>
      </c>
      <c r="C91" t="str">
        <v>50011899B</v>
      </c>
      <c r="D91" t="str">
        <v>MIDDLE BEAM C</v>
      </c>
      <c r="E91">
        <v>3084.9402985074626</v>
      </c>
      <c r="F91">
        <v>15511</v>
      </c>
      <c r="G91">
        <v>47850508.97014925</v>
      </c>
      <c r="J91" t="str">
        <v>인알파코리아</v>
      </c>
      <c r="K91" t="str">
        <v>ON-FRONT</v>
      </c>
      <c r="L91" t="str">
        <v>50011899B</v>
      </c>
      <c r="M91" t="str">
        <v>MIDDLE BEAM C</v>
      </c>
      <c r="O91">
        <v>2403</v>
      </c>
      <c r="AE91">
        <v>0</v>
      </c>
    </row>
    <row r="92">
      <c r="E92">
        <v>0</v>
      </c>
      <c r="F92">
        <v>0</v>
      </c>
      <c r="G92">
        <v>0</v>
      </c>
      <c r="I92" t="str">
        <v>태창금속</v>
      </c>
      <c r="J92" t="str">
        <v>태창금속</v>
      </c>
      <c r="K92" t="str">
        <v>ON-FRONT</v>
      </c>
      <c r="L92" t="str">
        <v>50011899B</v>
      </c>
      <c r="M92" t="str">
        <v>MIDDLE BEAM C</v>
      </c>
      <c r="N92">
        <v>1</v>
      </c>
      <c r="O92">
        <v>2403</v>
      </c>
      <c r="P92">
        <v>15511</v>
      </c>
      <c r="Q92">
        <v>37272933</v>
      </c>
      <c r="S92">
        <v>1001.2</v>
      </c>
      <c r="T92">
        <v>2403</v>
      </c>
      <c r="U92" t="str">
        <v>SPCC</v>
      </c>
      <c r="V92">
        <v>1.4</v>
      </c>
      <c r="W92">
        <v>950</v>
      </c>
      <c r="X92">
        <v>230</v>
      </c>
      <c r="Y92">
        <v>1</v>
      </c>
      <c r="Z92">
        <v>7.85</v>
      </c>
      <c r="AA92">
        <v>2.4</v>
      </c>
      <c r="AE92">
        <v>37272933</v>
      </c>
      <c r="AF92" t="str">
        <v>스크랩금액</v>
      </c>
      <c r="AG92">
        <v>15511</v>
      </c>
      <c r="AH92">
        <v>0.84</v>
      </c>
      <c r="AI92">
        <v>362</v>
      </c>
      <c r="AJ92">
        <v>4716584.88</v>
      </c>
    </row>
    <row r="93">
      <c r="A93" t="str">
        <v>인알파코리아</v>
      </c>
      <c r="B93" t="str">
        <v>KA4</v>
      </c>
      <c r="C93" t="str">
        <v>50011937C</v>
      </c>
      <c r="D93" t="str">
        <v>BRACKET FRAME LH</v>
      </c>
      <c r="E93">
        <v>174.375</v>
      </c>
      <c r="F93">
        <v>7015</v>
      </c>
      <c r="G93">
        <v>1223240.625</v>
      </c>
      <c r="J93" t="str">
        <v>인알파코리아</v>
      </c>
      <c r="K93" t="str">
        <v>KA4</v>
      </c>
      <c r="L93" t="str">
        <v>50011937C</v>
      </c>
      <c r="M93" t="str">
        <v>BRACKET FRAME LH</v>
      </c>
      <c r="O93">
        <v>137</v>
      </c>
      <c r="AE93">
        <v>0</v>
      </c>
    </row>
    <row r="94">
      <c r="E94">
        <v>0</v>
      </c>
      <c r="F94">
        <v>0</v>
      </c>
      <c r="G94">
        <v>0</v>
      </c>
      <c r="H94" t="str">
        <v>협력업체 철판</v>
      </c>
      <c r="I94" t="str">
        <v>협력업체</v>
      </c>
      <c r="J94" t="str">
        <v>에이오에스</v>
      </c>
      <c r="K94" t="str">
        <v>KA4</v>
      </c>
      <c r="L94" t="str">
        <v>50011937C</v>
      </c>
      <c r="M94" t="str">
        <v>B/K FRAME LH</v>
      </c>
      <c r="N94">
        <v>1</v>
      </c>
      <c r="O94">
        <v>137</v>
      </c>
      <c r="P94">
        <v>7015</v>
      </c>
      <c r="Q94">
        <v>961055</v>
      </c>
      <c r="S94">
        <v>1006</v>
      </c>
      <c r="T94">
        <v>121</v>
      </c>
      <c r="U94" t="str">
        <v>SPCC</v>
      </c>
      <c r="V94">
        <v>2</v>
      </c>
      <c r="W94">
        <v>197</v>
      </c>
      <c r="X94">
        <v>75</v>
      </c>
      <c r="Y94">
        <v>2</v>
      </c>
      <c r="Z94">
        <v>7.85</v>
      </c>
      <c r="AA94">
        <v>0.12</v>
      </c>
      <c r="AC94">
        <v>848815</v>
      </c>
      <c r="AE94">
        <v>112240</v>
      </c>
    </row>
    <row r="95">
      <c r="A95" t="str">
        <v>인알파코리아</v>
      </c>
      <c r="B95" t="str">
        <v>KA4</v>
      </c>
      <c r="C95" t="str">
        <v>50011938C</v>
      </c>
      <c r="D95" t="str">
        <v>BRACKET FRAME RH</v>
      </c>
      <c r="E95">
        <v>174.375</v>
      </c>
      <c r="F95">
        <v>7015</v>
      </c>
      <c r="G95">
        <v>1223240.625</v>
      </c>
      <c r="J95" t="str">
        <v>인알파코리아</v>
      </c>
      <c r="K95" t="str">
        <v>KA4</v>
      </c>
      <c r="L95" t="str">
        <v>50011938C</v>
      </c>
      <c r="M95" t="str">
        <v>BRACKET FRAME RH</v>
      </c>
      <c r="O95">
        <v>137</v>
      </c>
      <c r="AE95">
        <v>0</v>
      </c>
    </row>
    <row r="96">
      <c r="E96">
        <v>0</v>
      </c>
      <c r="F96">
        <v>0</v>
      </c>
      <c r="G96">
        <v>0</v>
      </c>
      <c r="H96" t="str">
        <v>협력업체 철판</v>
      </c>
      <c r="I96" t="str">
        <v>협력업체</v>
      </c>
      <c r="J96" t="str">
        <v>에이오에스</v>
      </c>
      <c r="K96" t="str">
        <v>KA4</v>
      </c>
      <c r="L96" t="str">
        <v>50011938C</v>
      </c>
      <c r="M96" t="str">
        <v>B/K FRAME RH</v>
      </c>
      <c r="N96">
        <v>1</v>
      </c>
      <c r="O96">
        <v>137</v>
      </c>
      <c r="P96">
        <v>7015</v>
      </c>
      <c r="Q96">
        <v>961055</v>
      </c>
      <c r="S96">
        <v>1006</v>
      </c>
      <c r="T96">
        <v>121</v>
      </c>
      <c r="U96" t="str">
        <v>SPCC</v>
      </c>
      <c r="V96">
        <v>2</v>
      </c>
      <c r="W96">
        <v>197</v>
      </c>
      <c r="X96">
        <v>75</v>
      </c>
      <c r="Y96">
        <v>2</v>
      </c>
      <c r="Z96">
        <v>7.85</v>
      </c>
      <c r="AA96">
        <v>0.12</v>
      </c>
      <c r="AC96">
        <v>848815</v>
      </c>
      <c r="AE96">
        <v>112240</v>
      </c>
    </row>
    <row r="97">
      <c r="A97" t="str">
        <v>인알파코리아</v>
      </c>
      <c r="B97" t="str">
        <v>KA4-F</v>
      </c>
      <c r="C97" t="str">
        <v>50011939B</v>
      </c>
      <c r="D97" t="str">
        <v>ASSY FRONT BRACKET FRAME LH</v>
      </c>
      <c r="E97">
        <v>653.4925373134329</v>
      </c>
      <c r="F97">
        <v>7015</v>
      </c>
      <c r="G97">
        <v>4584250.149253732</v>
      </c>
      <c r="J97" t="str">
        <v>인알파코리아</v>
      </c>
      <c r="K97" t="str">
        <v>KA4-F</v>
      </c>
      <c r="L97" t="str">
        <v>50011939B</v>
      </c>
      <c r="M97" t="str">
        <v>ASSY FRONT BRACKET FRAME LH</v>
      </c>
      <c r="O97">
        <v>519.4</v>
      </c>
      <c r="AE97">
        <v>0</v>
      </c>
    </row>
    <row r="98">
      <c r="E98">
        <v>0</v>
      </c>
      <c r="F98">
        <v>0</v>
      </c>
      <c r="G98">
        <v>0</v>
      </c>
      <c r="H98" t="str">
        <v>협력업체 철판</v>
      </c>
      <c r="I98" t="str">
        <v>협력업체</v>
      </c>
      <c r="J98" t="str">
        <v>에이오에스</v>
      </c>
      <c r="K98" t="str">
        <v>KA4</v>
      </c>
      <c r="L98" t="str">
        <v>50011939B</v>
      </c>
      <c r="M98" t="str">
        <v>FRONT B/K FRAME -LH</v>
      </c>
      <c r="N98">
        <v>1</v>
      </c>
      <c r="O98">
        <v>508</v>
      </c>
      <c r="P98">
        <v>7015</v>
      </c>
      <c r="Q98">
        <v>3563620</v>
      </c>
      <c r="S98">
        <v>1006</v>
      </c>
      <c r="T98">
        <v>473</v>
      </c>
      <c r="U98" t="str">
        <v>SPCC</v>
      </c>
      <c r="V98">
        <v>2</v>
      </c>
      <c r="W98">
        <v>349</v>
      </c>
      <c r="X98">
        <v>170</v>
      </c>
      <c r="Y98">
        <v>2</v>
      </c>
      <c r="Z98">
        <v>7.85</v>
      </c>
      <c r="AA98">
        <v>0.47</v>
      </c>
      <c r="AC98">
        <v>3318095</v>
      </c>
      <c r="AE98">
        <v>245525</v>
      </c>
    </row>
    <row r="99">
      <c r="E99">
        <v>0</v>
      </c>
      <c r="F99">
        <v>0</v>
      </c>
      <c r="G99">
        <v>0</v>
      </c>
      <c r="I99" t="str">
        <v>하드웨어</v>
      </c>
      <c r="J99" t="str">
        <v>삼진스틸</v>
      </c>
      <c r="L99" t="str">
        <v>13905-06000</v>
      </c>
      <c r="M99" t="str">
        <v>SQ WD NUT</v>
      </c>
      <c r="N99">
        <v>1</v>
      </c>
      <c r="O99">
        <v>11.400000000000002</v>
      </c>
      <c r="P99">
        <v>7015</v>
      </c>
      <c r="Q99">
        <v>79971.00000000001</v>
      </c>
      <c r="AC99">
        <v>0</v>
      </c>
      <c r="AE99">
        <v>79971.00000000001</v>
      </c>
    </row>
    <row r="100">
      <c r="A100" t="str">
        <v>인알파코리아</v>
      </c>
      <c r="B100" t="str">
        <v>KA4-F</v>
      </c>
      <c r="C100" t="str">
        <v>50011941B</v>
      </c>
      <c r="D100" t="str">
        <v>ASSY FRONT BRACKET FRAME RH</v>
      </c>
      <c r="E100">
        <v>653.4925373134329</v>
      </c>
      <c r="F100">
        <v>7015</v>
      </c>
      <c r="G100">
        <v>4584250.149253732</v>
      </c>
      <c r="J100" t="str">
        <v>인알파코리아</v>
      </c>
      <c r="K100" t="str">
        <v>KA4-F</v>
      </c>
      <c r="L100" t="str">
        <v>50011941B</v>
      </c>
      <c r="M100" t="str">
        <v>ASSY FRONT BRACKET FRAME RH</v>
      </c>
      <c r="O100">
        <v>519.4</v>
      </c>
      <c r="AE100">
        <v>0</v>
      </c>
    </row>
    <row r="101">
      <c r="E101">
        <v>0</v>
      </c>
      <c r="F101">
        <v>0</v>
      </c>
      <c r="G101">
        <v>0</v>
      </c>
      <c r="H101" t="str">
        <v>협력업체 철판</v>
      </c>
      <c r="I101" t="str">
        <v>협력업체</v>
      </c>
      <c r="J101" t="str">
        <v>에이오에스</v>
      </c>
      <c r="K101" t="str">
        <v>KA4</v>
      </c>
      <c r="L101" t="str">
        <v>50011941B</v>
      </c>
      <c r="M101" t="str">
        <v>FRONT B/K FRAME -RH</v>
      </c>
      <c r="N101">
        <v>1</v>
      </c>
      <c r="O101">
        <v>508</v>
      </c>
      <c r="P101">
        <v>7015</v>
      </c>
      <c r="Q101">
        <v>3563620</v>
      </c>
      <c r="S101">
        <v>1006</v>
      </c>
      <c r="T101">
        <v>473</v>
      </c>
      <c r="U101" t="str">
        <v>SPCC</v>
      </c>
      <c r="V101">
        <v>2</v>
      </c>
      <c r="W101">
        <v>349</v>
      </c>
      <c r="X101">
        <v>170</v>
      </c>
      <c r="Y101">
        <v>2</v>
      </c>
      <c r="Z101">
        <v>7.85</v>
      </c>
      <c r="AA101">
        <v>0.47</v>
      </c>
      <c r="AC101">
        <v>3318095</v>
      </c>
      <c r="AE101">
        <v>245525</v>
      </c>
    </row>
    <row r="102">
      <c r="E102">
        <v>0</v>
      </c>
      <c r="F102">
        <v>0</v>
      </c>
      <c r="G102">
        <v>0</v>
      </c>
      <c r="I102" t="str">
        <v>하드웨어</v>
      </c>
      <c r="J102" t="str">
        <v>삼진스틸</v>
      </c>
      <c r="L102" t="str">
        <v>13905-06000</v>
      </c>
      <c r="M102" t="str">
        <v>SQ WD NUT</v>
      </c>
      <c r="N102">
        <v>1</v>
      </c>
      <c r="O102">
        <v>11.400000000000002</v>
      </c>
      <c r="P102">
        <v>7015</v>
      </c>
      <c r="Q102">
        <v>79971.00000000001</v>
      </c>
      <c r="AC102">
        <v>0</v>
      </c>
      <c r="AE102">
        <v>79971.00000000001</v>
      </c>
    </row>
    <row r="103">
      <c r="A103" t="str">
        <v>인알파코리아</v>
      </c>
      <c r="B103" t="str">
        <v>KA4-R</v>
      </c>
      <c r="C103" t="str">
        <v>50011944C</v>
      </c>
      <c r="D103" t="str">
        <v>BRACKET FRAME A LH</v>
      </c>
      <c r="E103">
        <v>229.59493670886076</v>
      </c>
      <c r="F103">
        <v>7015</v>
      </c>
      <c r="G103">
        <v>1610608.4810126582</v>
      </c>
      <c r="J103" t="str">
        <v>인알파코리아</v>
      </c>
      <c r="K103" t="str">
        <v>KA4-R</v>
      </c>
      <c r="L103" t="str">
        <v>50011944C</v>
      </c>
      <c r="M103" t="str">
        <v>BRACKET FRAME A LH</v>
      </c>
      <c r="O103">
        <v>204</v>
      </c>
      <c r="AE103">
        <v>0</v>
      </c>
    </row>
    <row r="104">
      <c r="E104">
        <v>0</v>
      </c>
      <c r="F104">
        <v>0</v>
      </c>
      <c r="G104">
        <v>0</v>
      </c>
      <c r="H104" t="str">
        <v>협력업체 철판</v>
      </c>
      <c r="I104" t="str">
        <v>협력업체</v>
      </c>
      <c r="J104" t="str">
        <v>에이오에스</v>
      </c>
      <c r="K104" t="str">
        <v>KA4</v>
      </c>
      <c r="L104" t="str">
        <v>50011944C</v>
      </c>
      <c r="M104" t="str">
        <v>B/K FRAME A-LH</v>
      </c>
      <c r="N104">
        <v>1</v>
      </c>
      <c r="O104">
        <v>204</v>
      </c>
      <c r="P104">
        <v>7015</v>
      </c>
      <c r="Q104">
        <v>1431060</v>
      </c>
      <c r="S104">
        <v>1006</v>
      </c>
      <c r="T104">
        <v>211</v>
      </c>
      <c r="U104" t="str">
        <v>SPCC</v>
      </c>
      <c r="V104">
        <v>2</v>
      </c>
      <c r="W104">
        <v>291</v>
      </c>
      <c r="X104">
        <v>90</v>
      </c>
      <c r="Y104">
        <v>2</v>
      </c>
      <c r="Z104">
        <v>7.85</v>
      </c>
      <c r="AA104">
        <v>0.21</v>
      </c>
      <c r="AC104">
        <v>1480165</v>
      </c>
      <c r="AE104">
        <v>-49105</v>
      </c>
    </row>
    <row r="105">
      <c r="A105" t="str">
        <v>인알파코리아</v>
      </c>
      <c r="B105" t="str">
        <v>KA4-R</v>
      </c>
      <c r="C105" t="str">
        <v>50011955C</v>
      </c>
      <c r="D105" t="str">
        <v>BRACKET FRAME A RH</v>
      </c>
      <c r="E105">
        <v>229.44303797468353</v>
      </c>
      <c r="F105">
        <v>7015</v>
      </c>
      <c r="G105">
        <v>1609542.911392405</v>
      </c>
      <c r="J105" t="str">
        <v>인알파코리아</v>
      </c>
      <c r="K105" t="str">
        <v>KA4-R</v>
      </c>
      <c r="L105" t="str">
        <v>50011955C</v>
      </c>
      <c r="M105" t="str">
        <v>BRACKET FRAME A RH</v>
      </c>
      <c r="O105">
        <v>204</v>
      </c>
      <c r="AE105">
        <v>0</v>
      </c>
    </row>
    <row r="106">
      <c r="E106">
        <v>0</v>
      </c>
      <c r="F106">
        <v>0</v>
      </c>
      <c r="G106">
        <v>0</v>
      </c>
      <c r="H106" t="str">
        <v>협력업체 철판</v>
      </c>
      <c r="I106" t="str">
        <v>협력업체</v>
      </c>
      <c r="J106" t="str">
        <v>에이오에스</v>
      </c>
      <c r="K106" t="str">
        <v>KA4</v>
      </c>
      <c r="L106" t="str">
        <v>50011955C</v>
      </c>
      <c r="M106" t="str">
        <v>B/K FRAME A-RH</v>
      </c>
      <c r="N106">
        <v>1</v>
      </c>
      <c r="O106">
        <v>204</v>
      </c>
      <c r="P106">
        <v>7015</v>
      </c>
      <c r="Q106">
        <v>1431060</v>
      </c>
      <c r="S106">
        <v>1006</v>
      </c>
      <c r="T106">
        <v>211</v>
      </c>
      <c r="U106" t="str">
        <v>SPCC</v>
      </c>
      <c r="V106">
        <v>2</v>
      </c>
      <c r="W106">
        <v>291</v>
      </c>
      <c r="X106">
        <v>90</v>
      </c>
      <c r="Y106">
        <v>2</v>
      </c>
      <c r="Z106">
        <v>7.85</v>
      </c>
      <c r="AA106">
        <v>0.21</v>
      </c>
      <c r="AC106">
        <v>1480165</v>
      </c>
      <c r="AE106">
        <v>-49105</v>
      </c>
    </row>
    <row r="107">
      <c r="A107" t="str">
        <v>인알파코리아</v>
      </c>
      <c r="B107" t="str">
        <v>KA4</v>
      </c>
      <c r="C107" t="str">
        <v>50011957A</v>
      </c>
      <c r="D107" t="str">
        <v>2ND ROOM LAMP BRACKET ASSY</v>
      </c>
      <c r="E107">
        <v>874.7924528301887</v>
      </c>
      <c r="F107">
        <v>7015</v>
      </c>
      <c r="G107">
        <v>6136669.0566037735</v>
      </c>
      <c r="J107" t="str">
        <v>인알파코리아</v>
      </c>
      <c r="K107" t="str">
        <v>KA4</v>
      </c>
      <c r="L107" t="str">
        <v>50011957A</v>
      </c>
      <c r="M107" t="str">
        <v>2ND ROOM LAMP BRACKET ASSY</v>
      </c>
      <c r="O107">
        <v>587.4</v>
      </c>
      <c r="T107">
        <v>0</v>
      </c>
      <c r="AE107">
        <v>0</v>
      </c>
    </row>
    <row r="108">
      <c r="E108">
        <v>0</v>
      </c>
      <c r="F108">
        <v>0</v>
      </c>
      <c r="G108">
        <v>0</v>
      </c>
      <c r="H108" t="str">
        <v>협력업체 철판</v>
      </c>
      <c r="I108" t="str">
        <v>협력업체</v>
      </c>
      <c r="J108" t="str">
        <v>에이오에스</v>
      </c>
      <c r="K108" t="str">
        <v>KA4</v>
      </c>
      <c r="L108" t="str">
        <v>50011957A</v>
      </c>
      <c r="M108" t="str">
        <v xml:space="preserve">2ND ROOM LAMP </v>
      </c>
      <c r="N108">
        <v>1</v>
      </c>
      <c r="O108">
        <v>576</v>
      </c>
      <c r="P108">
        <v>7015</v>
      </c>
      <c r="Q108">
        <v>4040640</v>
      </c>
      <c r="S108">
        <v>1006</v>
      </c>
      <c r="T108">
        <v>392</v>
      </c>
      <c r="U108" t="str">
        <v>SPCC</v>
      </c>
      <c r="V108">
        <v>1.6</v>
      </c>
      <c r="W108">
        <v>255</v>
      </c>
      <c r="X108">
        <v>123</v>
      </c>
      <c r="Y108">
        <v>1</v>
      </c>
      <c r="Z108">
        <v>7.85</v>
      </c>
      <c r="AA108">
        <v>0.39</v>
      </c>
      <c r="AC108">
        <v>2749880</v>
      </c>
      <c r="AE108">
        <v>1290760</v>
      </c>
    </row>
    <row r="109">
      <c r="E109">
        <v>0</v>
      </c>
      <c r="F109">
        <v>0</v>
      </c>
      <c r="G109">
        <v>0</v>
      </c>
      <c r="I109" t="str">
        <v>하드웨어</v>
      </c>
      <c r="J109" t="str">
        <v>삼진스틸</v>
      </c>
      <c r="L109" t="str">
        <v>13905-06000</v>
      </c>
      <c r="M109" t="str">
        <v>SQ WD NUT</v>
      </c>
      <c r="N109">
        <v>1</v>
      </c>
      <c r="O109">
        <v>11.400000000000002</v>
      </c>
      <c r="P109">
        <v>7015</v>
      </c>
      <c r="Q109">
        <v>79971.00000000001</v>
      </c>
      <c r="AC109">
        <v>0</v>
      </c>
      <c r="AE109">
        <v>79971.00000000001</v>
      </c>
    </row>
    <row r="110">
      <c r="A110" t="str">
        <v>인알파코리아</v>
      </c>
      <c r="B110" t="str">
        <v>SU2 L</v>
      </c>
      <c r="C110" t="str">
        <v>50012088E</v>
      </c>
      <c r="D110" t="str">
        <v>GLASS REINFORCEMENT FRONT</v>
      </c>
      <c r="E110">
        <v>9414.63829787234</v>
      </c>
      <c r="F110">
        <v>2500</v>
      </c>
      <c r="G110">
        <v>23536595.744680848</v>
      </c>
      <c r="J110" t="str">
        <v>인알파코리아</v>
      </c>
      <c r="K110" t="str">
        <v>SU2 LWB</v>
      </c>
      <c r="L110" t="str">
        <v>50012088C</v>
      </c>
      <c r="M110" t="str">
        <v>GLASS REINFORCEMENT FRONT</v>
      </c>
      <c r="O110">
        <v>8447</v>
      </c>
      <c r="AE110">
        <v>0</v>
      </c>
    </row>
    <row r="111">
      <c r="E111">
        <v>0</v>
      </c>
      <c r="F111">
        <v>0</v>
      </c>
      <c r="G111">
        <v>0</v>
      </c>
      <c r="I111" t="str">
        <v>태창금속</v>
      </c>
      <c r="J111" t="str">
        <v>태창금속</v>
      </c>
      <c r="K111" t="str">
        <v>SU2 LWB</v>
      </c>
      <c r="L111" t="str">
        <v>50012088C</v>
      </c>
      <c r="M111" t="str">
        <v>GLASS REINFORCEMENT FRONT</v>
      </c>
      <c r="N111">
        <v>1</v>
      </c>
      <c r="O111">
        <v>8447</v>
      </c>
      <c r="P111">
        <v>2500</v>
      </c>
      <c r="Q111">
        <v>21117500</v>
      </c>
      <c r="S111">
        <v>1011.5999999999999</v>
      </c>
      <c r="T111">
        <v>8447</v>
      </c>
      <c r="U111" t="str">
        <v>SPCC</v>
      </c>
      <c r="V111">
        <v>1.6</v>
      </c>
      <c r="W111">
        <v>700</v>
      </c>
      <c r="X111">
        <v>950</v>
      </c>
      <c r="Y111">
        <v>1</v>
      </c>
      <c r="Z111">
        <v>7.85</v>
      </c>
      <c r="AA111">
        <v>8.35</v>
      </c>
      <c r="AE111">
        <v>21117500</v>
      </c>
      <c r="AF111" t="str">
        <v>스크랩금액</v>
      </c>
      <c r="AG111">
        <v>2500</v>
      </c>
      <c r="AH111">
        <v>6.198</v>
      </c>
      <c r="AI111">
        <v>362</v>
      </c>
      <c r="AJ111">
        <v>5609190.000000001</v>
      </c>
    </row>
    <row r="112">
      <c r="A112" t="str">
        <v>인알파코리아</v>
      </c>
      <c r="B112" t="str">
        <v>SU2 L</v>
      </c>
      <c r="C112" t="str">
        <v>50012093B</v>
      </c>
      <c r="D112" t="str">
        <v>GLASS REINFORCEMENT REAR</v>
      </c>
      <c r="E112">
        <v>7798.297872340426</v>
      </c>
      <c r="F112">
        <v>2500</v>
      </c>
      <c r="G112">
        <v>19495744.680851065</v>
      </c>
      <c r="J112" t="str">
        <v>인알파코리아</v>
      </c>
      <c r="K112" t="str">
        <v>SU2 L</v>
      </c>
      <c r="L112" t="str">
        <v>50012093B</v>
      </c>
      <c r="M112" t="str">
        <v>GLASS REINFORCEMENT REAR</v>
      </c>
      <c r="O112">
        <v>7375</v>
      </c>
      <c r="AE112">
        <v>0</v>
      </c>
    </row>
    <row r="113">
      <c r="E113">
        <v>0</v>
      </c>
      <c r="F113">
        <v>0</v>
      </c>
      <c r="G113">
        <v>0</v>
      </c>
      <c r="I113" t="str">
        <v>태창금속</v>
      </c>
      <c r="J113" t="str">
        <v>태창금속</v>
      </c>
      <c r="K113" t="str">
        <v>SU2 LWB</v>
      </c>
      <c r="L113" t="str">
        <v>50012093B</v>
      </c>
      <c r="M113" t="str">
        <v>GLASS REINFORCEMENT REAR</v>
      </c>
      <c r="N113">
        <v>1</v>
      </c>
      <c r="O113">
        <v>7375</v>
      </c>
      <c r="P113">
        <v>2500</v>
      </c>
      <c r="Q113">
        <v>18437500</v>
      </c>
      <c r="S113">
        <v>1011.5999999999999</v>
      </c>
      <c r="T113">
        <v>7375</v>
      </c>
      <c r="U113" t="str">
        <v>SPCC</v>
      </c>
      <c r="V113">
        <v>1.2</v>
      </c>
      <c r="W113">
        <v>815</v>
      </c>
      <c r="X113">
        <v>950</v>
      </c>
      <c r="Y113">
        <v>1</v>
      </c>
      <c r="Z113">
        <v>7.85</v>
      </c>
      <c r="AA113">
        <v>7.29</v>
      </c>
      <c r="AE113">
        <v>18437500</v>
      </c>
      <c r="AF113" t="str">
        <v>스크랩금액</v>
      </c>
      <c r="AG113">
        <v>2500</v>
      </c>
      <c r="AH113">
        <v>6.215</v>
      </c>
      <c r="AI113">
        <v>362</v>
      </c>
      <c r="AJ113">
        <v>5624575</v>
      </c>
    </row>
    <row r="114">
      <c r="A114" t="str">
        <v>인알파코리아</v>
      </c>
      <c r="B114" t="str">
        <v>SU2 L</v>
      </c>
      <c r="C114" t="str">
        <v>50012110C</v>
      </c>
      <c r="D114" t="str">
        <v>ROLLO COVER ASSY</v>
      </c>
      <c r="E114">
        <v>2633.5582255083177</v>
      </c>
      <c r="F114">
        <v>2500</v>
      </c>
      <c r="G114">
        <v>6583895.563770794</v>
      </c>
      <c r="J114" t="str">
        <v>인알파코리아</v>
      </c>
      <c r="K114" t="str">
        <v>SU2 LWB</v>
      </c>
      <c r="L114" t="str">
        <v>50012110C</v>
      </c>
      <c r="M114" t="str">
        <v>ROLLO COVER ASSY</v>
      </c>
      <c r="O114">
        <v>88</v>
      </c>
      <c r="AE114">
        <v>0</v>
      </c>
    </row>
    <row r="115">
      <c r="E115">
        <v>0</v>
      </c>
      <c r="F115">
        <v>0</v>
      </c>
      <c r="G115">
        <v>0</v>
      </c>
      <c r="H115" t="str">
        <v>협력업체 철판</v>
      </c>
      <c r="I115" t="str">
        <v>협력업체</v>
      </c>
      <c r="J115" t="str">
        <v>창경에스테크</v>
      </c>
      <c r="K115" t="str">
        <v>SU2 LWB</v>
      </c>
      <c r="L115">
        <v>50012110</v>
      </c>
      <c r="M115" t="str">
        <v>ROLLO COVER</v>
      </c>
      <c r="N115">
        <v>1</v>
      </c>
      <c r="O115">
        <v>0</v>
      </c>
      <c r="P115">
        <v>2500</v>
      </c>
      <c r="Q115">
        <v>0</v>
      </c>
      <c r="S115">
        <v>1006</v>
      </c>
      <c r="T115">
        <v>1579</v>
      </c>
      <c r="U115" t="str">
        <v>SPCC</v>
      </c>
      <c r="V115">
        <v>1</v>
      </c>
      <c r="W115">
        <v>1000</v>
      </c>
      <c r="X115">
        <v>200</v>
      </c>
      <c r="Y115">
        <v>1</v>
      </c>
      <c r="Z115">
        <v>7.85</v>
      </c>
      <c r="AA115">
        <v>1.57</v>
      </c>
      <c r="AC115">
        <v>3947500</v>
      </c>
      <c r="AE115">
        <v>-3947500</v>
      </c>
    </row>
    <row r="116">
      <c r="E116">
        <v>0</v>
      </c>
      <c r="F116">
        <v>0</v>
      </c>
      <c r="G116">
        <v>0</v>
      </c>
      <c r="H116" t="str">
        <v>협력업체 철판</v>
      </c>
      <c r="I116" t="str">
        <v>협력업체</v>
      </c>
      <c r="J116" t="str">
        <v>에이오에스</v>
      </c>
      <c r="K116" t="str">
        <v>SU2</v>
      </c>
      <c r="L116">
        <v>50011800</v>
      </c>
      <c r="M116" t="str">
        <v>B/K ROLLO-LH</v>
      </c>
      <c r="N116">
        <v>1</v>
      </c>
      <c r="O116">
        <v>44</v>
      </c>
      <c r="P116">
        <v>2500</v>
      </c>
      <c r="Q116">
        <v>110000</v>
      </c>
      <c r="S116">
        <v>1006</v>
      </c>
      <c r="T116">
        <v>10</v>
      </c>
      <c r="U116" t="str">
        <v>SPCC</v>
      </c>
      <c r="V116">
        <v>1.2</v>
      </c>
      <c r="W116">
        <v>105</v>
      </c>
      <c r="X116">
        <v>30</v>
      </c>
      <c r="Y116">
        <v>2</v>
      </c>
      <c r="Z116">
        <v>7.85</v>
      </c>
      <c r="AA116">
        <v>0.01</v>
      </c>
      <c r="AC116">
        <v>25000</v>
      </c>
      <c r="AE116">
        <v>85000</v>
      </c>
    </row>
    <row r="117">
      <c r="E117">
        <v>0</v>
      </c>
      <c r="F117">
        <v>0</v>
      </c>
      <c r="G117">
        <v>0</v>
      </c>
      <c r="H117" t="str">
        <v>협력업체 철판</v>
      </c>
      <c r="I117" t="str">
        <v>협력업체</v>
      </c>
      <c r="J117" t="str">
        <v>에이오에스</v>
      </c>
      <c r="K117" t="str">
        <v>SU2</v>
      </c>
      <c r="L117">
        <v>50011801</v>
      </c>
      <c r="M117" t="str">
        <v>B/K ROLLO-RH</v>
      </c>
      <c r="N117">
        <v>1</v>
      </c>
      <c r="O117">
        <v>44</v>
      </c>
      <c r="P117">
        <v>2500</v>
      </c>
      <c r="Q117">
        <v>110000</v>
      </c>
      <c r="S117">
        <v>1006</v>
      </c>
      <c r="T117">
        <v>10</v>
      </c>
      <c r="U117" t="str">
        <v>SPCC</v>
      </c>
      <c r="V117">
        <v>1.2</v>
      </c>
      <c r="W117">
        <v>105</v>
      </c>
      <c r="X117">
        <v>30</v>
      </c>
      <c r="Y117">
        <v>2</v>
      </c>
      <c r="Z117">
        <v>7.85</v>
      </c>
      <c r="AA117">
        <v>0.01</v>
      </c>
      <c r="AC117">
        <v>25000</v>
      </c>
      <c r="AE117">
        <v>85000</v>
      </c>
    </row>
    <row r="118">
      <c r="A118" t="str">
        <v>인알파코리아</v>
      </c>
      <c r="B118" t="str">
        <v>NES</v>
      </c>
      <c r="C118" t="str">
        <v>50012234C</v>
      </c>
      <c r="D118" t="str">
        <v>ASSY REAR BEAM</v>
      </c>
      <c r="E118">
        <v>7081.460750853243</v>
      </c>
      <c r="F118">
        <v>1728</v>
      </c>
      <c r="G118">
        <v>12236764.177474404</v>
      </c>
      <c r="J118" t="str">
        <v>인알파코리아</v>
      </c>
      <c r="K118" t="str">
        <v>NES</v>
      </c>
      <c r="L118" t="str">
        <v>50012234C</v>
      </c>
      <c r="M118" t="str">
        <v>ASSY REAR BEAM</v>
      </c>
      <c r="O118">
        <v>3578.4</v>
      </c>
      <c r="AE118">
        <v>0</v>
      </c>
    </row>
    <row r="119">
      <c r="E119">
        <v>0</v>
      </c>
      <c r="F119">
        <v>0</v>
      </c>
      <c r="G119">
        <v>0</v>
      </c>
      <c r="I119" t="str">
        <v>태창금속</v>
      </c>
      <c r="J119" t="str">
        <v>태창금속</v>
      </c>
      <c r="K119" t="str">
        <v>NES</v>
      </c>
      <c r="L119">
        <v>50012234</v>
      </c>
      <c r="M119" t="str">
        <v>REAR BEAM</v>
      </c>
      <c r="N119">
        <v>1</v>
      </c>
      <c r="O119">
        <v>3567</v>
      </c>
      <c r="P119">
        <v>1728</v>
      </c>
      <c r="Q119">
        <v>6163776</v>
      </c>
      <c r="S119">
        <v>1055.2</v>
      </c>
      <c r="T119">
        <v>3567</v>
      </c>
      <c r="U119" t="str">
        <v>SPCD</v>
      </c>
      <c r="V119">
        <v>1.2</v>
      </c>
      <c r="W119">
        <v>1120</v>
      </c>
      <c r="X119">
        <v>320</v>
      </c>
      <c r="Y119">
        <v>1</v>
      </c>
      <c r="Z119">
        <v>7.85</v>
      </c>
      <c r="AA119">
        <v>3.38</v>
      </c>
      <c r="AE119">
        <v>6163776</v>
      </c>
      <c r="AF119" t="str">
        <v>스크랩금액</v>
      </c>
      <c r="AG119">
        <v>1728</v>
      </c>
      <c r="AH119">
        <v>1.85</v>
      </c>
      <c r="AI119">
        <v>362</v>
      </c>
      <c r="AJ119">
        <v>1157241.6</v>
      </c>
    </row>
    <row r="120">
      <c r="E120">
        <v>0</v>
      </c>
      <c r="F120">
        <v>0</v>
      </c>
      <c r="G120">
        <v>0</v>
      </c>
      <c r="I120" t="str">
        <v>하드웨어</v>
      </c>
      <c r="J120" t="str">
        <v>삼진스틸</v>
      </c>
      <c r="L120" t="str">
        <v>13905-06000</v>
      </c>
      <c r="M120" t="str">
        <v>SQ WD NUT</v>
      </c>
      <c r="N120">
        <v>5</v>
      </c>
      <c r="O120">
        <v>11.400000000000002</v>
      </c>
      <c r="P120">
        <v>1728</v>
      </c>
      <c r="Q120">
        <v>98496.00000000003</v>
      </c>
      <c r="T120">
        <v>0</v>
      </c>
      <c r="AE120">
        <v>98496.00000000003</v>
      </c>
    </row>
    <row r="121">
      <c r="A121" t="str">
        <v>인알파코리아</v>
      </c>
      <c r="B121" t="str">
        <v>RS4</v>
      </c>
      <c r="C121" t="str">
        <v>50012438D</v>
      </c>
      <c r="D121" t="str">
        <v>REINFORCEMENT GLASS</v>
      </c>
      <c r="E121">
        <v>14489.4</v>
      </c>
      <c r="F121">
        <v>409</v>
      </c>
      <c r="G121">
        <v>5926164.6</v>
      </c>
      <c r="J121" t="str">
        <v>인알파코리아</v>
      </c>
      <c r="K121" t="str">
        <v>RS4</v>
      </c>
      <c r="L121" t="str">
        <v>50012438D</v>
      </c>
      <c r="M121" t="str">
        <v>REINFORCEMENT GLASS</v>
      </c>
      <c r="O121">
        <v>14698</v>
      </c>
      <c r="AE121">
        <v>0</v>
      </c>
    </row>
    <row r="122">
      <c r="E122">
        <v>0</v>
      </c>
      <c r="F122">
        <v>0</v>
      </c>
      <c r="G122">
        <v>0</v>
      </c>
      <c r="I122" t="str">
        <v>태창금속</v>
      </c>
      <c r="J122" t="str">
        <v>태창금속</v>
      </c>
      <c r="K122" t="str">
        <v>RS4</v>
      </c>
      <c r="L122" t="str">
        <v>50012438D</v>
      </c>
      <c r="M122" t="str">
        <v>REINFORCEMENT GLASS</v>
      </c>
      <c r="N122">
        <v>1</v>
      </c>
      <c r="O122">
        <v>14698</v>
      </c>
      <c r="P122">
        <v>409</v>
      </c>
      <c r="Q122">
        <v>6011482</v>
      </c>
      <c r="S122">
        <v>1130.6</v>
      </c>
      <c r="T122">
        <v>14698</v>
      </c>
      <c r="U122" t="str">
        <v>SGARC340</v>
      </c>
      <c r="V122">
        <v>1.6</v>
      </c>
      <c r="W122">
        <v>1150</v>
      </c>
      <c r="X122">
        <v>900</v>
      </c>
      <c r="Y122">
        <v>1</v>
      </c>
      <c r="Z122">
        <v>7.85</v>
      </c>
      <c r="AA122">
        <v>13</v>
      </c>
      <c r="AE122">
        <v>6011482</v>
      </c>
      <c r="AF122" t="str">
        <v>스크랩금액</v>
      </c>
      <c r="AG122">
        <v>409</v>
      </c>
      <c r="AH122">
        <v>10.011</v>
      </c>
      <c r="AI122">
        <v>362</v>
      </c>
      <c r="AJ122">
        <v>1482208.638</v>
      </c>
    </row>
    <row r="123">
      <c r="A123" t="str">
        <v>인알파코리아</v>
      </c>
      <c r="B123" t="str">
        <v>KA4-F</v>
      </c>
      <c r="C123" t="str">
        <v>50013138A</v>
      </c>
      <c r="D123" t="str">
        <v>MIDDLE BEAM</v>
      </c>
      <c r="E123">
        <v>5637.308900523561</v>
      </c>
      <c r="F123">
        <v>7015</v>
      </c>
      <c r="G123">
        <v>39545721.93717278</v>
      </c>
      <c r="J123" t="str">
        <v>인알파코리아</v>
      </c>
      <c r="K123" t="str">
        <v>KA4-F</v>
      </c>
      <c r="L123" t="str">
        <v>50013138A</v>
      </c>
      <c r="M123" t="str">
        <v>MIDDLE BEAM</v>
      </c>
      <c r="O123">
        <v>3828</v>
      </c>
      <c r="AE123">
        <v>0</v>
      </c>
    </row>
    <row r="124">
      <c r="E124">
        <v>0</v>
      </c>
      <c r="F124">
        <v>0</v>
      </c>
      <c r="G124">
        <v>0</v>
      </c>
      <c r="I124" t="str">
        <v>태창금속</v>
      </c>
      <c r="J124" t="str">
        <v>태창금속</v>
      </c>
      <c r="K124" t="str">
        <v>KA4-F</v>
      </c>
      <c r="L124" t="str">
        <v>50013138A</v>
      </c>
      <c r="M124" t="str">
        <v>MIDDLE BEAM</v>
      </c>
      <c r="N124">
        <v>1</v>
      </c>
      <c r="O124">
        <v>3828</v>
      </c>
      <c r="P124">
        <v>7015</v>
      </c>
      <c r="Q124">
        <v>26853420</v>
      </c>
      <c r="S124">
        <v>999.6</v>
      </c>
      <c r="T124">
        <v>3828</v>
      </c>
      <c r="U124" t="str">
        <v>SPCC</v>
      </c>
      <c r="V124">
        <v>1.2</v>
      </c>
      <c r="W124">
        <v>1100</v>
      </c>
      <c r="X124">
        <v>420</v>
      </c>
      <c r="Y124">
        <v>1</v>
      </c>
      <c r="Z124">
        <v>7.85</v>
      </c>
      <c r="AA124">
        <v>3.83</v>
      </c>
      <c r="AE124">
        <v>26853420</v>
      </c>
      <c r="AF124" t="str">
        <v>스크랩금액</v>
      </c>
      <c r="AG124">
        <v>7015</v>
      </c>
      <c r="AH124">
        <v>2.1</v>
      </c>
      <c r="AI124">
        <v>362</v>
      </c>
      <c r="AJ124">
        <v>5332803</v>
      </c>
    </row>
    <row r="125">
      <c r="A125" t="str">
        <v>인알파코리아</v>
      </c>
      <c r="B125" t="str">
        <v>MX5</v>
      </c>
      <c r="C125" t="str">
        <v>50014694A</v>
      </c>
      <c r="D125" t="str">
        <v>MEDDLE BEAM B</v>
      </c>
      <c r="E125">
        <v>4371.25</v>
      </c>
      <c r="F125">
        <v>12415</v>
      </c>
      <c r="G125">
        <v>54269068.75</v>
      </c>
      <c r="J125" t="str">
        <v>인알파코리아</v>
      </c>
      <c r="K125" t="str">
        <v>MX5</v>
      </c>
      <c r="L125" t="str">
        <v>50014694A</v>
      </c>
      <c r="M125" t="str">
        <v>MEDDLE BEAM B</v>
      </c>
      <c r="O125">
        <v>3104</v>
      </c>
      <c r="AC125">
        <v>0</v>
      </c>
      <c r="AE125">
        <v>0</v>
      </c>
    </row>
    <row r="126">
      <c r="E126">
        <v>0</v>
      </c>
      <c r="F126">
        <v>0</v>
      </c>
      <c r="I126" t="str">
        <v>태창금속</v>
      </c>
      <c r="J126" t="str">
        <v>태창금속</v>
      </c>
      <c r="K126" t="str">
        <v>MX5</v>
      </c>
      <c r="L126" t="str">
        <v>50014694A</v>
      </c>
      <c r="M126" t="str">
        <v>MEDDLE BEAM B</v>
      </c>
      <c r="N126">
        <v>1</v>
      </c>
      <c r="O126">
        <v>3104</v>
      </c>
      <c r="P126">
        <v>12415</v>
      </c>
      <c r="Q126">
        <v>38536160</v>
      </c>
      <c r="S126">
        <v>1001.2</v>
      </c>
      <c r="T126">
        <v>3104</v>
      </c>
      <c r="U126" t="str">
        <v>SPCC</v>
      </c>
      <c r="V126">
        <v>1.2</v>
      </c>
      <c r="W126">
        <v>1030</v>
      </c>
      <c r="X126">
        <v>320</v>
      </c>
      <c r="Y126">
        <v>1</v>
      </c>
      <c r="Z126">
        <v>7.85</v>
      </c>
      <c r="AA126">
        <v>3.1</v>
      </c>
      <c r="AE126">
        <v>38536160</v>
      </c>
      <c r="AF126" t="str">
        <v>스크랩금액</v>
      </c>
      <c r="AG126">
        <v>12415</v>
      </c>
      <c r="AH126">
        <v>0.003</v>
      </c>
      <c r="AI126">
        <v>362</v>
      </c>
      <c r="AJ126">
        <v>13482.689999999999</v>
      </c>
    </row>
    <row r="127">
      <c r="A127" t="str">
        <v>인알파코리아</v>
      </c>
      <c r="B127" t="str">
        <v>MX5</v>
      </c>
      <c r="C127" t="str">
        <v>50015959A</v>
      </c>
      <c r="D127" t="str">
        <v xml:space="preserve">ROLLO CASSETTE </v>
      </c>
      <c r="E127">
        <v>4392.983240223463</v>
      </c>
      <c r="F127">
        <v>11208</v>
      </c>
      <c r="G127">
        <v>49236556.156424575</v>
      </c>
      <c r="J127" t="str">
        <v>인알파코리아</v>
      </c>
      <c r="K127" t="str">
        <v>MX5</v>
      </c>
      <c r="L127" t="str">
        <v>50015959A</v>
      </c>
      <c r="M127" t="str">
        <v xml:space="preserve">ROLLO CASSETTE </v>
      </c>
      <c r="N127">
        <v>1</v>
      </c>
      <c r="O127">
        <v>3136</v>
      </c>
      <c r="AE127">
        <v>0</v>
      </c>
    </row>
    <row r="128">
      <c r="E128">
        <v>0</v>
      </c>
      <c r="F128">
        <v>0</v>
      </c>
      <c r="I128" t="str">
        <v>태창금속</v>
      </c>
      <c r="J128" t="str">
        <v>태창금속</v>
      </c>
      <c r="K128" t="str">
        <v>MX5</v>
      </c>
      <c r="L128" t="str">
        <v>50015959A</v>
      </c>
      <c r="M128" t="str">
        <v xml:space="preserve">ROLLO CASSETTE </v>
      </c>
      <c r="N128">
        <v>1</v>
      </c>
      <c r="O128">
        <v>3054</v>
      </c>
      <c r="P128">
        <v>11208</v>
      </c>
      <c r="Q128">
        <v>34229232</v>
      </c>
      <c r="S128">
        <v>1001.2</v>
      </c>
      <c r="T128">
        <v>3054</v>
      </c>
      <c r="U128" t="str">
        <v>SPCC</v>
      </c>
      <c r="V128">
        <v>1</v>
      </c>
      <c r="W128">
        <v>1050</v>
      </c>
      <c r="X128">
        <v>370</v>
      </c>
      <c r="Y128">
        <v>1</v>
      </c>
      <c r="Z128">
        <v>7.85</v>
      </c>
      <c r="AA128">
        <v>3.05</v>
      </c>
      <c r="AE128">
        <v>34229232</v>
      </c>
      <c r="AF128" t="str">
        <v>스크랩금액</v>
      </c>
      <c r="AG128">
        <v>11208</v>
      </c>
      <c r="AH128">
        <v>0.032</v>
      </c>
      <c r="AI128">
        <v>362</v>
      </c>
      <c r="AJ128">
        <v>129833.47200000001</v>
      </c>
    </row>
    <row r="129">
      <c r="E129">
        <v>0</v>
      </c>
      <c r="F129">
        <v>0</v>
      </c>
      <c r="G129">
        <v>0</v>
      </c>
      <c r="H129" t="str">
        <v>협력업체 철판</v>
      </c>
      <c r="I129" t="str">
        <v>협력업체</v>
      </c>
      <c r="J129" t="str">
        <v>에이오에스</v>
      </c>
      <c r="K129" t="str">
        <v>ON</v>
      </c>
      <c r="L129">
        <v>50010567</v>
      </c>
      <c r="M129" t="str">
        <v>BRKT ROLLO LH</v>
      </c>
      <c r="N129">
        <v>1</v>
      </c>
      <c r="O129">
        <v>41</v>
      </c>
      <c r="P129">
        <v>11208</v>
      </c>
      <c r="Q129">
        <v>459528</v>
      </c>
      <c r="S129">
        <v>1006</v>
      </c>
      <c r="T129">
        <v>20</v>
      </c>
      <c r="U129" t="str">
        <v>SPCC</v>
      </c>
      <c r="V129">
        <v>1.2</v>
      </c>
      <c r="W129">
        <v>108</v>
      </c>
      <c r="X129">
        <v>45</v>
      </c>
      <c r="Y129">
        <v>2</v>
      </c>
      <c r="Z129">
        <v>7.85</v>
      </c>
      <c r="AA129">
        <v>0.02</v>
      </c>
      <c r="AC129">
        <v>224160</v>
      </c>
      <c r="AE129">
        <v>235368</v>
      </c>
    </row>
    <row r="130">
      <c r="E130">
        <v>0</v>
      </c>
      <c r="F130">
        <v>0</v>
      </c>
      <c r="G130">
        <v>0</v>
      </c>
      <c r="H130" t="str">
        <v>협력업체 철판</v>
      </c>
      <c r="I130" t="str">
        <v>협력업체</v>
      </c>
      <c r="J130" t="str">
        <v>에이오에스</v>
      </c>
      <c r="K130" t="str">
        <v>ON</v>
      </c>
      <c r="L130">
        <v>50010569</v>
      </c>
      <c r="M130" t="str">
        <v>BRKT ROLLO RH</v>
      </c>
      <c r="N130">
        <v>1</v>
      </c>
      <c r="O130">
        <v>41</v>
      </c>
      <c r="P130">
        <v>11208</v>
      </c>
      <c r="Q130">
        <v>459528</v>
      </c>
      <c r="S130">
        <v>1006</v>
      </c>
      <c r="T130">
        <v>20</v>
      </c>
      <c r="U130" t="str">
        <v>SPCC</v>
      </c>
      <c r="V130">
        <v>1.2</v>
      </c>
      <c r="W130">
        <v>108</v>
      </c>
      <c r="X130">
        <v>45</v>
      </c>
      <c r="Y130">
        <v>2</v>
      </c>
      <c r="Z130">
        <v>7.85</v>
      </c>
      <c r="AA130">
        <v>0.02</v>
      </c>
      <c r="AC130">
        <v>224160</v>
      </c>
      <c r="AE130">
        <v>235368</v>
      </c>
    </row>
    <row r="131">
      <c r="A131" t="str">
        <v>인알파코리아</v>
      </c>
      <c r="B131" t="str">
        <v>MX5</v>
      </c>
      <c r="C131" t="str">
        <v>50014454B</v>
      </c>
      <c r="D131" t="str">
        <v xml:space="preserve">GLASS MTG BRACKET ASSY              </v>
      </c>
      <c r="E131">
        <v>145.6883116883117</v>
      </c>
      <c r="F131">
        <v>47246</v>
      </c>
      <c r="G131">
        <v>6883189.974025975</v>
      </c>
      <c r="J131" t="str">
        <v>인알파코리아</v>
      </c>
      <c r="K131" t="str">
        <v>MX5</v>
      </c>
      <c r="L131" t="str">
        <v>50014454B</v>
      </c>
      <c r="M131" t="str">
        <v xml:space="preserve">GLASS MTG BRACKET ASSY              </v>
      </c>
      <c r="O131">
        <v>24</v>
      </c>
      <c r="AC131">
        <v>0</v>
      </c>
      <c r="AE131">
        <v>0</v>
      </c>
    </row>
    <row r="132">
      <c r="E132">
        <v>0</v>
      </c>
      <c r="F132">
        <v>0</v>
      </c>
      <c r="G132">
        <v>0</v>
      </c>
      <c r="H132" t="str">
        <v>협력업체 철판</v>
      </c>
      <c r="I132" t="str">
        <v>협력업체</v>
      </c>
      <c r="J132" t="str">
        <v>에이오에스</v>
      </c>
      <c r="K132" t="str">
        <v>MX5</v>
      </c>
      <c r="L132">
        <v>50014454</v>
      </c>
      <c r="M132" t="str">
        <v xml:space="preserve">GLASS MTG BRACKET         </v>
      </c>
      <c r="N132">
        <v>1</v>
      </c>
      <c r="O132">
        <v>0</v>
      </c>
      <c r="P132">
        <v>47246</v>
      </c>
      <c r="Q132">
        <v>0</v>
      </c>
      <c r="S132">
        <v>995</v>
      </c>
      <c r="T132">
        <v>30</v>
      </c>
      <c r="U132" t="str">
        <v>SPCC</v>
      </c>
      <c r="V132">
        <v>1.2</v>
      </c>
      <c r="W132">
        <v>75</v>
      </c>
      <c r="X132">
        <v>73</v>
      </c>
      <c r="Y132">
        <v>2</v>
      </c>
      <c r="Z132">
        <v>7.85</v>
      </c>
      <c r="AA132">
        <v>0.03</v>
      </c>
      <c r="AC132">
        <v>1417380</v>
      </c>
      <c r="AE132">
        <v>-1417380</v>
      </c>
    </row>
    <row r="133">
      <c r="E133">
        <v>0</v>
      </c>
      <c r="F133">
        <v>0</v>
      </c>
      <c r="G133">
        <v>0</v>
      </c>
      <c r="J133" t="str">
        <v>대신금속</v>
      </c>
      <c r="L133" t="str">
        <v>12900-06201</v>
      </c>
      <c r="M133" t="str">
        <v>SQ WD BOLT</v>
      </c>
      <c r="O133">
        <v>24</v>
      </c>
      <c r="P133">
        <v>47246</v>
      </c>
      <c r="Q133">
        <v>0</v>
      </c>
      <c r="AC133">
        <v>0</v>
      </c>
      <c r="AE133">
        <v>0</v>
      </c>
    </row>
    <row r="134">
      <c r="A134" t="str">
        <v>인알파코리아</v>
      </c>
      <c r="B134" t="str">
        <v>MQ4</v>
      </c>
      <c r="C134" t="str">
        <v>50011349B</v>
      </c>
      <c r="D134" t="str">
        <v>GLASS REINFORCEMENT ASSY</v>
      </c>
      <c r="E134">
        <v>15576.285714285714</v>
      </c>
      <c r="F134">
        <v>11070</v>
      </c>
      <c r="G134">
        <v>172429482.85714287</v>
      </c>
      <c r="J134" t="str">
        <v>인알파코리아</v>
      </c>
      <c r="K134" t="str">
        <v>MQ4</v>
      </c>
      <c r="L134" t="str">
        <v>50011349B</v>
      </c>
      <c r="M134" t="str">
        <v>GLASS REINFORCEMENT ASSY</v>
      </c>
      <c r="O134">
        <v>14730</v>
      </c>
      <c r="AC134">
        <v>0</v>
      </c>
      <c r="AE134">
        <v>0</v>
      </c>
    </row>
    <row r="135">
      <c r="E135">
        <v>0</v>
      </c>
      <c r="F135">
        <v>0</v>
      </c>
      <c r="G135">
        <v>0</v>
      </c>
      <c r="I135" t="str">
        <v>태창금속</v>
      </c>
      <c r="J135" t="str">
        <v>태창금속</v>
      </c>
      <c r="K135" t="str">
        <v>MQ4</v>
      </c>
      <c r="L135">
        <v>50011349</v>
      </c>
      <c r="M135" t="str">
        <v>GLASS REINFORCEMENT ASSY</v>
      </c>
      <c r="N135">
        <v>1</v>
      </c>
      <c r="O135">
        <v>14698</v>
      </c>
      <c r="P135">
        <v>11070</v>
      </c>
      <c r="Q135">
        <v>162706860</v>
      </c>
      <c r="S135">
        <v>1130.6</v>
      </c>
      <c r="T135">
        <v>14698</v>
      </c>
      <c r="U135" t="str">
        <v>SGARC340</v>
      </c>
      <c r="V135">
        <v>1.6</v>
      </c>
      <c r="W135">
        <v>900</v>
      </c>
      <c r="X135">
        <v>1150</v>
      </c>
      <c r="Y135">
        <v>1</v>
      </c>
      <c r="Z135">
        <v>7.85</v>
      </c>
      <c r="AA135">
        <v>13</v>
      </c>
      <c r="AE135">
        <v>162706860</v>
      </c>
      <c r="AF135" t="str">
        <v>스크랩금액</v>
      </c>
      <c r="AG135">
        <v>11070</v>
      </c>
      <c r="AH135">
        <v>9.81</v>
      </c>
      <c r="AI135">
        <v>362</v>
      </c>
      <c r="AJ135">
        <v>39312005.400000006</v>
      </c>
    </row>
    <row r="136">
      <c r="E136">
        <v>0</v>
      </c>
      <c r="F136">
        <v>0</v>
      </c>
      <c r="I136" t="str">
        <v>하드웨어</v>
      </c>
      <c r="J136" t="str">
        <v>대일CFT</v>
      </c>
      <c r="L136">
        <v>50007315</v>
      </c>
      <c r="M136" t="str">
        <v>M5 INSERT BOLT</v>
      </c>
      <c r="N136">
        <v>2</v>
      </c>
      <c r="O136">
        <v>32</v>
      </c>
      <c r="P136">
        <v>11070</v>
      </c>
      <c r="Q136">
        <v>708480</v>
      </c>
      <c r="AE136">
        <v>708480</v>
      </c>
    </row>
    <row r="137">
      <c r="A137" t="str">
        <v>인알파코리아</v>
      </c>
      <c r="B137" t="str">
        <v>MQ4</v>
      </c>
      <c r="C137" t="str">
        <v>50011382D</v>
      </c>
      <c r="D137" t="str">
        <v>CENTER CROSS MEMBER ASSY</v>
      </c>
      <c r="E137">
        <v>5544.338345864661</v>
      </c>
      <c r="F137">
        <v>11070</v>
      </c>
      <c r="G137">
        <v>61375825.4887218</v>
      </c>
      <c r="J137" t="str">
        <v>인알파코리아</v>
      </c>
      <c r="K137" t="str">
        <v>MQ4</v>
      </c>
      <c r="L137" t="str">
        <v>50011382D</v>
      </c>
      <c r="M137" t="str">
        <v>ROLLO CASSETTE ASSY</v>
      </c>
      <c r="O137">
        <v>3474.7000000000003</v>
      </c>
      <c r="AC137">
        <v>0</v>
      </c>
      <c r="AE137">
        <v>0</v>
      </c>
    </row>
    <row r="138">
      <c r="E138">
        <v>0</v>
      </c>
      <c r="F138">
        <v>0</v>
      </c>
      <c r="G138">
        <v>0</v>
      </c>
      <c r="H138" t="str">
        <v>협력업체 철판</v>
      </c>
      <c r="I138" t="str">
        <v>협력업체</v>
      </c>
      <c r="J138" t="str">
        <v>신성테크</v>
      </c>
      <c r="K138" t="str">
        <v>MQ4</v>
      </c>
      <c r="L138">
        <v>50011385</v>
      </c>
      <c r="M138" t="str">
        <v>CENTER CROSS MEMBER UPPER</v>
      </c>
      <c r="N138">
        <v>1</v>
      </c>
      <c r="O138">
        <v>2680</v>
      </c>
      <c r="P138">
        <v>11070</v>
      </c>
      <c r="Q138">
        <v>29667600</v>
      </c>
      <c r="S138">
        <v>1131.6</v>
      </c>
      <c r="T138">
        <v>2671</v>
      </c>
      <c r="U138" t="str">
        <v>SPFC590</v>
      </c>
      <c r="V138">
        <v>1.6</v>
      </c>
      <c r="W138">
        <v>1120</v>
      </c>
      <c r="X138">
        <v>168</v>
      </c>
      <c r="Y138">
        <v>1</v>
      </c>
      <c r="Z138">
        <v>7.85</v>
      </c>
      <c r="AA138">
        <v>2.36</v>
      </c>
      <c r="AC138">
        <v>29567970</v>
      </c>
      <c r="AE138">
        <v>99630</v>
      </c>
    </row>
    <row r="139">
      <c r="E139">
        <v>0</v>
      </c>
      <c r="F139">
        <v>0</v>
      </c>
      <c r="G139">
        <v>0</v>
      </c>
      <c r="I139" t="str">
        <v>하드웨어</v>
      </c>
      <c r="J139" t="str">
        <v>삼진스틸</v>
      </c>
      <c r="L139" t="str">
        <v>13905-05000</v>
      </c>
      <c r="M139" t="str">
        <v>SQ WD NUT</v>
      </c>
      <c r="N139">
        <v>2</v>
      </c>
      <c r="O139">
        <v>10.3</v>
      </c>
      <c r="P139">
        <v>11070</v>
      </c>
      <c r="Q139">
        <v>228042.00000000003</v>
      </c>
      <c r="AC139">
        <v>0</v>
      </c>
      <c r="AE139">
        <v>228042.00000000003</v>
      </c>
    </row>
    <row r="140">
      <c r="E140">
        <v>0</v>
      </c>
      <c r="F140">
        <v>0</v>
      </c>
      <c r="G140">
        <v>0</v>
      </c>
      <c r="I140" t="str">
        <v>하드웨어</v>
      </c>
      <c r="J140" t="str">
        <v>삼진스틸</v>
      </c>
      <c r="L140" t="str">
        <v>13905-06000</v>
      </c>
      <c r="M140" t="str">
        <v>SQ WD NUT</v>
      </c>
      <c r="N140">
        <v>4</v>
      </c>
      <c r="O140">
        <v>11.400000000000002</v>
      </c>
      <c r="P140">
        <v>11070</v>
      </c>
      <c r="Q140">
        <v>504792.0000000001</v>
      </c>
      <c r="AC140">
        <v>0</v>
      </c>
      <c r="AE140">
        <v>504792.0000000001</v>
      </c>
    </row>
    <row r="141">
      <c r="E141">
        <v>0</v>
      </c>
      <c r="F141">
        <v>0</v>
      </c>
      <c r="G141">
        <v>0</v>
      </c>
      <c r="H141" t="str">
        <v>협력업체 철판</v>
      </c>
      <c r="I141" t="str">
        <v>협력업체</v>
      </c>
      <c r="J141" t="str">
        <v>신성테크</v>
      </c>
      <c r="K141" t="str">
        <v>MQ4</v>
      </c>
      <c r="L141">
        <v>50011384</v>
      </c>
      <c r="M141" t="str">
        <v>CENTER CROSS MEMBER LOWER</v>
      </c>
      <c r="N141">
        <v>1</v>
      </c>
      <c r="O141">
        <v>773</v>
      </c>
      <c r="P141">
        <v>11070</v>
      </c>
      <c r="Q141">
        <v>8557110</v>
      </c>
      <c r="S141">
        <v>1046.6</v>
      </c>
      <c r="T141">
        <v>680</v>
      </c>
      <c r="U141" t="str">
        <v>SPRC340</v>
      </c>
      <c r="V141">
        <v>1</v>
      </c>
      <c r="W141">
        <v>920</v>
      </c>
      <c r="X141">
        <v>90</v>
      </c>
      <c r="Y141">
        <v>1</v>
      </c>
      <c r="Z141">
        <v>7.85</v>
      </c>
      <c r="AA141">
        <v>0.65</v>
      </c>
      <c r="AC141">
        <v>7527600</v>
      </c>
      <c r="AE141">
        <v>1029510</v>
      </c>
    </row>
    <row r="142">
      <c r="A142" t="str">
        <v>인알파코리아</v>
      </c>
      <c r="B142" t="str">
        <v>MQ4</v>
      </c>
      <c r="C142" t="str">
        <v>50011307B</v>
      </c>
      <c r="D142" t="str">
        <v>ROLLO CASSETTE ASSY</v>
      </c>
      <c r="E142">
        <v>2342.095238095238</v>
      </c>
      <c r="F142">
        <v>11070</v>
      </c>
      <c r="G142">
        <v>25926994.285714287</v>
      </c>
      <c r="J142" t="str">
        <v>인알파코리아</v>
      </c>
      <c r="K142" t="str">
        <v>MQ4</v>
      </c>
      <c r="L142" t="str">
        <v>50011307B</v>
      </c>
      <c r="M142" t="str">
        <v>ROLLO CASSETTE ASSY</v>
      </c>
      <c r="O142">
        <v>1246</v>
      </c>
      <c r="AC142">
        <v>0</v>
      </c>
      <c r="AE142">
        <v>0</v>
      </c>
    </row>
    <row r="143">
      <c r="E143">
        <v>0</v>
      </c>
      <c r="F143">
        <v>0</v>
      </c>
      <c r="G143">
        <v>0</v>
      </c>
      <c r="H143" t="str">
        <v>협력업체 철판</v>
      </c>
      <c r="I143" t="str">
        <v>협력업체</v>
      </c>
      <c r="J143" t="str">
        <v>제이에스테크</v>
      </c>
      <c r="K143" t="str">
        <v>MQ4</v>
      </c>
      <c r="L143">
        <v>50011308</v>
      </c>
      <c r="M143" t="str">
        <v>ROLLO CASSETTE</v>
      </c>
      <c r="N143">
        <v>1</v>
      </c>
      <c r="O143">
        <v>1200</v>
      </c>
      <c r="P143">
        <v>11070</v>
      </c>
      <c r="Q143">
        <v>13284000</v>
      </c>
      <c r="S143">
        <v>1076</v>
      </c>
      <c r="T143">
        <v>1205</v>
      </c>
      <c r="U143" t="str">
        <v>SPCC</v>
      </c>
      <c r="V143">
        <v>1</v>
      </c>
      <c r="W143">
        <v>936</v>
      </c>
      <c r="X143">
        <v>153</v>
      </c>
      <c r="Y143">
        <v>1</v>
      </c>
      <c r="Z143">
        <v>7.85</v>
      </c>
      <c r="AA143">
        <v>1.12</v>
      </c>
      <c r="AC143">
        <v>13339350</v>
      </c>
      <c r="AE143">
        <v>-55350</v>
      </c>
    </row>
    <row r="144">
      <c r="E144">
        <v>0</v>
      </c>
      <c r="F144">
        <v>0</v>
      </c>
      <c r="G144">
        <v>0</v>
      </c>
      <c r="H144" t="str">
        <v>협력업체 철판</v>
      </c>
      <c r="I144" t="str">
        <v>협력업체</v>
      </c>
      <c r="J144" t="str">
        <v>제이에스테크</v>
      </c>
      <c r="K144" t="str">
        <v>MQ4</v>
      </c>
      <c r="L144">
        <v>50011833</v>
      </c>
      <c r="M144" t="str">
        <v>ROLLO BRACKER L/R</v>
      </c>
      <c r="N144">
        <v>2</v>
      </c>
      <c r="O144">
        <v>46</v>
      </c>
      <c r="P144">
        <v>11070</v>
      </c>
      <c r="Q144">
        <v>1018440</v>
      </c>
      <c r="S144">
        <v>1076</v>
      </c>
      <c r="T144">
        <v>22</v>
      </c>
      <c r="U144" t="str">
        <v>SPCC</v>
      </c>
      <c r="V144">
        <v>1.2</v>
      </c>
      <c r="W144">
        <v>92</v>
      </c>
      <c r="X144">
        <v>45</v>
      </c>
      <c r="Y144">
        <v>2</v>
      </c>
      <c r="Z144">
        <v>7.85</v>
      </c>
      <c r="AA144">
        <v>0.02</v>
      </c>
      <c r="AC144">
        <v>243540</v>
      </c>
      <c r="AE144">
        <v>774900</v>
      </c>
    </row>
    <row r="145">
      <c r="A145" t="str">
        <v>인알파코리아</v>
      </c>
      <c r="B145" t="str">
        <v>JX</v>
      </c>
      <c r="C145" t="str">
        <v>50011106C</v>
      </c>
      <c r="D145" t="str">
        <v>GLASS MOUNTING BRACKET ASSY</v>
      </c>
      <c r="E145">
        <v>242.3125</v>
      </c>
      <c r="F145">
        <v>27204</v>
      </c>
      <c r="G145">
        <v>6591869.25</v>
      </c>
      <c r="J145" t="str">
        <v>인알파코리아</v>
      </c>
      <c r="K145" t="str">
        <v>JX</v>
      </c>
      <c r="L145" t="str">
        <v>50011106C</v>
      </c>
      <c r="M145" t="str">
        <v>GLASS MOUNTING BRACKET ASSY</v>
      </c>
      <c r="O145">
        <v>187.3</v>
      </c>
      <c r="Q145">
        <v>0</v>
      </c>
      <c r="AC145">
        <v>0</v>
      </c>
      <c r="AE145">
        <v>0</v>
      </c>
    </row>
    <row r="146">
      <c r="G146">
        <v>0</v>
      </c>
      <c r="H146" t="str">
        <v>협력업체 철판</v>
      </c>
      <c r="I146" t="str">
        <v>협력업체</v>
      </c>
      <c r="J146" t="str">
        <v>광성산업</v>
      </c>
      <c r="K146" t="str">
        <v>JX</v>
      </c>
      <c r="L146" t="str">
        <v>50011106C</v>
      </c>
      <c r="M146" t="str">
        <v>GLASS MOUNTING BRACKET</v>
      </c>
      <c r="N146">
        <v>1</v>
      </c>
      <c r="O146">
        <v>177</v>
      </c>
      <c r="P146">
        <v>27204</v>
      </c>
      <c r="Q146">
        <v>4815108</v>
      </c>
      <c r="S146">
        <v>1122</v>
      </c>
      <c r="T146">
        <v>112</v>
      </c>
      <c r="U146" t="str">
        <v>SPRC340</v>
      </c>
      <c r="V146">
        <v>1.5</v>
      </c>
      <c r="W146">
        <v>105</v>
      </c>
      <c r="X146">
        <v>77</v>
      </c>
      <c r="Y146">
        <v>1</v>
      </c>
      <c r="Z146">
        <v>7.85</v>
      </c>
      <c r="AA146">
        <v>0.1</v>
      </c>
      <c r="AC146">
        <v>3046848</v>
      </c>
      <c r="AE146">
        <v>1768260</v>
      </c>
    </row>
    <row r="147">
      <c r="G147">
        <v>0</v>
      </c>
      <c r="I147" t="str">
        <v>하드웨어</v>
      </c>
      <c r="J147" t="str">
        <v>삼진스틸</v>
      </c>
      <c r="L147" t="str">
        <v>13905-05000</v>
      </c>
      <c r="M147" t="str">
        <v>SQ WD NUT</v>
      </c>
      <c r="N147">
        <v>1</v>
      </c>
      <c r="O147">
        <v>10.3</v>
      </c>
      <c r="P147">
        <v>27204</v>
      </c>
      <c r="Q147">
        <v>280201.2</v>
      </c>
      <c r="T147">
        <v>0</v>
      </c>
      <c r="Y147">
        <v>1</v>
      </c>
      <c r="Z147">
        <v>7.85</v>
      </c>
      <c r="AA147">
        <v>0</v>
      </c>
      <c r="AC147">
        <v>0</v>
      </c>
      <c r="AE147">
        <v>280201.2</v>
      </c>
    </row>
    <row r="148">
      <c r="A148" t="str">
        <v>인알파코리아</v>
      </c>
      <c r="B148" t="str">
        <v>MV</v>
      </c>
      <c r="C148" t="str">
        <v>30032843A</v>
      </c>
      <c r="D148" t="str">
        <v>MOUNTING BRACKET LH</v>
      </c>
      <c r="E148">
        <v>347</v>
      </c>
      <c r="F148">
        <v>3500</v>
      </c>
      <c r="G148">
        <v>1214500</v>
      </c>
      <c r="J148" t="str">
        <v>인알파코리아</v>
      </c>
      <c r="K148" t="str">
        <v>MV</v>
      </c>
      <c r="L148" t="str">
        <v>50032843A</v>
      </c>
      <c r="M148" t="str">
        <v>MOUNTING BRACKET LH</v>
      </c>
      <c r="O148">
        <v>218</v>
      </c>
      <c r="AC148">
        <v>0</v>
      </c>
      <c r="AE148">
        <v>0</v>
      </c>
    </row>
    <row r="149">
      <c r="G149">
        <v>0</v>
      </c>
      <c r="H149" t="str">
        <v>협력업체 철판</v>
      </c>
      <c r="I149" t="str">
        <v>협력업체</v>
      </c>
      <c r="J149" t="str">
        <v>에이오에스</v>
      </c>
      <c r="K149" t="str">
        <v>MV</v>
      </c>
      <c r="L149" t="str">
        <v>50032843A</v>
      </c>
      <c r="M149" t="str">
        <v>MOUNTING BRACKET LH</v>
      </c>
      <c r="N149">
        <v>1</v>
      </c>
      <c r="O149">
        <v>218</v>
      </c>
      <c r="P149">
        <v>3500</v>
      </c>
      <c r="Q149">
        <v>763000</v>
      </c>
      <c r="S149">
        <v>1006</v>
      </c>
      <c r="T149">
        <v>433</v>
      </c>
      <c r="U149" t="str">
        <v>SPCC</v>
      </c>
      <c r="V149">
        <v>2</v>
      </c>
      <c r="W149">
        <v>389</v>
      </c>
      <c r="X149">
        <v>70</v>
      </c>
      <c r="Y149">
        <v>1</v>
      </c>
      <c r="Z149">
        <v>7.85</v>
      </c>
      <c r="AA149">
        <v>0.43</v>
      </c>
      <c r="AC149">
        <v>1515500</v>
      </c>
      <c r="AE149">
        <v>-752500</v>
      </c>
    </row>
    <row r="150">
      <c r="A150" t="str">
        <v>인알파코리아</v>
      </c>
      <c r="B150" t="str">
        <v>MV</v>
      </c>
      <c r="C150" t="str">
        <v>30032844A</v>
      </c>
      <c r="D150" t="str">
        <v>MOUNTING BRACKET RH</v>
      </c>
      <c r="E150">
        <v>347</v>
      </c>
      <c r="F150">
        <v>3500</v>
      </c>
      <c r="G150">
        <v>1214500</v>
      </c>
      <c r="J150" t="str">
        <v>인알파코리아</v>
      </c>
      <c r="K150" t="str">
        <v>MV</v>
      </c>
      <c r="L150" t="str">
        <v>50032844A</v>
      </c>
      <c r="M150" t="str">
        <v>MOUNTING BRACKET RH</v>
      </c>
      <c r="O150">
        <v>218</v>
      </c>
      <c r="Q150">
        <v>0</v>
      </c>
      <c r="AC150">
        <v>0</v>
      </c>
      <c r="AE150">
        <v>0</v>
      </c>
    </row>
    <row r="151">
      <c r="G151">
        <v>0</v>
      </c>
      <c r="H151" t="str">
        <v>협력업체 철판</v>
      </c>
      <c r="I151" t="str">
        <v>협력업체</v>
      </c>
      <c r="J151" t="str">
        <v>에이오에스</v>
      </c>
      <c r="K151" t="str">
        <v>MV</v>
      </c>
      <c r="L151" t="str">
        <v>50032844A</v>
      </c>
      <c r="M151" t="str">
        <v>MOUNTING BRACKET RH</v>
      </c>
      <c r="N151">
        <v>1</v>
      </c>
      <c r="O151">
        <v>218</v>
      </c>
      <c r="P151">
        <v>3500</v>
      </c>
      <c r="Q151">
        <v>763000</v>
      </c>
      <c r="S151">
        <v>1006</v>
      </c>
      <c r="T151">
        <v>433</v>
      </c>
      <c r="U151" t="str">
        <v>SPCC</v>
      </c>
      <c r="V151">
        <v>2</v>
      </c>
      <c r="W151">
        <v>389</v>
      </c>
      <c r="X151">
        <v>70</v>
      </c>
      <c r="Y151">
        <v>1</v>
      </c>
      <c r="Z151">
        <v>7.85</v>
      </c>
      <c r="AA151">
        <v>0.43</v>
      </c>
      <c r="AC151">
        <v>1515500</v>
      </c>
      <c r="AE151">
        <v>-752500</v>
      </c>
    </row>
    <row r="152">
      <c r="G152">
        <v>1053079222.5777994</v>
      </c>
      <c r="Q152">
        <v>829891202.8000001</v>
      </c>
    </row>
    <row r="875">
      <c r="J875" t="str">
        <v>인알파코리아</v>
      </c>
      <c r="L875" t="str">
        <v>50007278B</v>
      </c>
      <c r="N875" t="str">
        <v>2,631</v>
      </c>
      <c r="S875">
        <v>1033.6</v>
      </c>
    </row>
    <row r="876">
      <c r="J876" t="str">
        <v>인알파코리아</v>
      </c>
      <c r="L876" t="str">
        <v>50007300D</v>
      </c>
      <c r="N876" t="str">
        <v>6,555</v>
      </c>
      <c r="S876">
        <v>1033.6</v>
      </c>
    </row>
    <row r="877">
      <c r="J877" t="str">
        <v>인알파코리아</v>
      </c>
      <c r="L877" t="str">
        <v>50007407B</v>
      </c>
      <c r="N877" t="str">
        <v>6,069</v>
      </c>
      <c r="S877">
        <v>1013.2</v>
      </c>
    </row>
    <row r="878">
      <c r="J878" t="str">
        <v>인알파코리아</v>
      </c>
      <c r="L878" t="str">
        <v>50008160E</v>
      </c>
      <c r="N878" t="str">
        <v>14,573</v>
      </c>
      <c r="S878">
        <v>1013.2</v>
      </c>
    </row>
    <row r="879">
      <c r="J879" t="str">
        <v>인알파코리아</v>
      </c>
      <c r="L879" t="str">
        <v>50009719C</v>
      </c>
      <c r="N879" t="str">
        <v>10,030</v>
      </c>
      <c r="S879">
        <v>1130.6</v>
      </c>
    </row>
    <row r="880">
      <c r="J880" t="str">
        <v>인알파코리아</v>
      </c>
      <c r="L880" t="str">
        <v>50009937C</v>
      </c>
      <c r="N880" t="str">
        <v>10,030</v>
      </c>
      <c r="S880">
        <v>1192.6</v>
      </c>
    </row>
    <row r="881">
      <c r="J881" t="str">
        <v>태창금속</v>
      </c>
      <c r="L881" t="str">
        <v>50009743E</v>
      </c>
      <c r="N881" t="str">
        <v>4,185</v>
      </c>
      <c r="S881">
        <v>1192.6</v>
      </c>
    </row>
    <row r="882">
      <c r="J882" t="str">
        <v>신성테크</v>
      </c>
      <c r="L882" t="str">
        <v>50009745</v>
      </c>
      <c r="N882" t="str">
        <v>4</v>
      </c>
      <c r="S882">
        <v>1006</v>
      </c>
    </row>
    <row r="883">
      <c r="J883" t="str">
        <v>신성테크</v>
      </c>
      <c r="L883" t="str">
        <v>50010027</v>
      </c>
      <c r="N883" t="str">
        <v>1</v>
      </c>
      <c r="S883">
        <v>1006</v>
      </c>
    </row>
    <row r="884">
      <c r="J884" t="str">
        <v>신성테크</v>
      </c>
      <c r="L884" t="str">
        <v>50009877</v>
      </c>
      <c r="N884" t="str">
        <v>1</v>
      </c>
      <c r="S884">
        <v>1006</v>
      </c>
    </row>
    <row r="885">
      <c r="J885" t="str">
        <v>신성테크</v>
      </c>
      <c r="L885" t="str">
        <v>50009878</v>
      </c>
      <c r="N885" t="str">
        <v>1</v>
      </c>
      <c r="S885">
        <v>1006</v>
      </c>
    </row>
    <row r="886">
      <c r="J886" t="str">
        <v>인알파코리아</v>
      </c>
      <c r="L886" t="str">
        <v>50009766A</v>
      </c>
      <c r="N886" t="str">
        <v>524</v>
      </c>
      <c r="S886">
        <v>1006</v>
      </c>
    </row>
    <row r="887">
      <c r="J887" t="str">
        <v>인알파코리아</v>
      </c>
      <c r="L887" t="str">
        <v>50009768A</v>
      </c>
      <c r="N887" t="str">
        <v>524</v>
      </c>
      <c r="S887">
        <v>1144</v>
      </c>
    </row>
    <row r="888">
      <c r="J888" t="str">
        <v>인알파코리아</v>
      </c>
      <c r="L888" t="str">
        <v>50009770B</v>
      </c>
      <c r="N888" t="str">
        <v>142</v>
      </c>
      <c r="S888">
        <v>1144</v>
      </c>
    </row>
    <row r="889">
      <c r="J889" t="str">
        <v>신성테크</v>
      </c>
      <c r="L889" t="str">
        <v>50009770</v>
      </c>
      <c r="N889" t="str">
        <v>1</v>
      </c>
      <c r="S889">
        <v>1144</v>
      </c>
    </row>
    <row r="890">
      <c r="J890" t="str">
        <v>인알파코리아</v>
      </c>
      <c r="L890" t="str">
        <v>50009772B</v>
      </c>
      <c r="N890" t="str">
        <v>142</v>
      </c>
      <c r="S890">
        <v>1144</v>
      </c>
    </row>
    <row r="891">
      <c r="J891" t="str">
        <v>신성테크</v>
      </c>
      <c r="L891" t="str">
        <v>50009772</v>
      </c>
      <c r="N891" t="str">
        <v>1</v>
      </c>
      <c r="S891">
        <v>1144</v>
      </c>
    </row>
    <row r="892">
      <c r="J892" t="str">
        <v>인알파코리아</v>
      </c>
      <c r="L892" t="str">
        <v>50009971C</v>
      </c>
      <c r="N892" t="str">
        <v>519</v>
      </c>
      <c r="S892">
        <v>1144</v>
      </c>
    </row>
    <row r="893">
      <c r="J893" t="str">
        <v>인알파코리아</v>
      </c>
      <c r="L893" t="str">
        <v>50009973C</v>
      </c>
      <c r="N893" t="str">
        <v>519</v>
      </c>
      <c r="S893">
        <v>1144</v>
      </c>
    </row>
    <row r="894">
      <c r="J894" t="str">
        <v>인알파코리아</v>
      </c>
      <c r="L894" t="str">
        <v>50009975B</v>
      </c>
      <c r="N894" t="str">
        <v>141</v>
      </c>
      <c r="S894">
        <v>1144</v>
      </c>
    </row>
    <row r="895">
      <c r="J895" t="str">
        <v>신성테크</v>
      </c>
      <c r="L895" t="str">
        <v>50009975B</v>
      </c>
      <c r="N895" t="str">
        <v>141</v>
      </c>
      <c r="S895">
        <v>1144</v>
      </c>
    </row>
    <row r="896">
      <c r="J896" t="str">
        <v>인알파코리아</v>
      </c>
      <c r="L896" t="str">
        <v>50009977B</v>
      </c>
      <c r="N896" t="str">
        <v>141</v>
      </c>
      <c r="S896">
        <v>1144</v>
      </c>
    </row>
    <row r="897">
      <c r="J897" t="str">
        <v>신성테크</v>
      </c>
      <c r="L897" t="str">
        <v>50009977B</v>
      </c>
      <c r="N897" t="str">
        <v>141</v>
      </c>
      <c r="S897">
        <v>1144</v>
      </c>
    </row>
    <row r="898">
      <c r="J898" t="str">
        <v>인알파코리아</v>
      </c>
      <c r="L898" t="str">
        <v>50010025E</v>
      </c>
      <c r="N898" t="str">
        <v>4,224</v>
      </c>
      <c r="S898">
        <v>1144</v>
      </c>
    </row>
    <row r="899">
      <c r="J899" t="str">
        <v>신성테크</v>
      </c>
      <c r="L899" t="str">
        <v>50009745</v>
      </c>
      <c r="N899" t="str">
        <v>4</v>
      </c>
      <c r="S899">
        <v>1006</v>
      </c>
    </row>
    <row r="900">
      <c r="J900" t="str">
        <v>신성테크</v>
      </c>
      <c r="L900" t="str">
        <v>50010027</v>
      </c>
      <c r="N900" t="str">
        <v>1</v>
      </c>
      <c r="S900">
        <v>1006</v>
      </c>
    </row>
    <row r="901">
      <c r="J901" t="str">
        <v>신성테크</v>
      </c>
      <c r="L901" t="str">
        <v>50010086</v>
      </c>
      <c r="N901" t="str">
        <v>1</v>
      </c>
      <c r="S901">
        <v>1006</v>
      </c>
    </row>
    <row r="902">
      <c r="J902" t="str">
        <v>신성테크</v>
      </c>
      <c r="L902" t="str">
        <v>50009877</v>
      </c>
      <c r="N902" t="str">
        <v>1</v>
      </c>
      <c r="S902">
        <v>1006</v>
      </c>
    </row>
    <row r="903">
      <c r="J903" t="str">
        <v>신성테크</v>
      </c>
      <c r="L903" t="str">
        <v>50009878</v>
      </c>
      <c r="N903" t="str">
        <v>1</v>
      </c>
      <c r="S903">
        <v>1006</v>
      </c>
    </row>
    <row r="904">
      <c r="J904" t="str">
        <v>인알파코리아</v>
      </c>
      <c r="L904" t="str">
        <v>50010382C</v>
      </c>
      <c r="N904" t="str">
        <v>1,902</v>
      </c>
      <c r="S904">
        <v>1006</v>
      </c>
    </row>
    <row r="905">
      <c r="J905" t="str">
        <v>인알파코리아</v>
      </c>
      <c r="L905" t="str">
        <v>50010445D</v>
      </c>
      <c r="N905" t="str">
        <v>6,333</v>
      </c>
      <c r="S905">
        <v>1001.2</v>
      </c>
    </row>
    <row r="906">
      <c r="J906" t="str">
        <v>인알파코리아</v>
      </c>
      <c r="L906" t="str">
        <v>50010562C</v>
      </c>
      <c r="N906" t="str">
        <v>1,673</v>
      </c>
      <c r="S906">
        <v>1013.2</v>
      </c>
    </row>
    <row r="907">
      <c r="J907" t="str">
        <v>제이에스테크</v>
      </c>
      <c r="L907" t="str">
        <v>50010562C</v>
      </c>
      <c r="N907" t="str">
        <v>1,673</v>
      </c>
      <c r="S907">
        <v>571</v>
      </c>
    </row>
    <row r="908">
      <c r="J908" t="str">
        <v>신성테크</v>
      </c>
      <c r="L908" t="str">
        <v>50010992</v>
      </c>
      <c r="N908" t="str">
        <v>1</v>
      </c>
      <c r="S908">
        <v>1006</v>
      </c>
    </row>
    <row r="909">
      <c r="J909" t="str">
        <v>신성테크</v>
      </c>
      <c r="L909" t="str">
        <v>50010993</v>
      </c>
      <c r="N909" t="str">
        <v>1</v>
      </c>
      <c r="S909">
        <v>1006</v>
      </c>
    </row>
    <row r="910">
      <c r="J910" t="str">
        <v>신성테크</v>
      </c>
      <c r="L910" t="str">
        <v>50010567</v>
      </c>
      <c r="N910" t="str">
        <v>1</v>
      </c>
      <c r="S910">
        <v>1006</v>
      </c>
    </row>
    <row r="911">
      <c r="J911" t="str">
        <v>신성테크</v>
      </c>
      <c r="L911" t="str">
        <v>50010569</v>
      </c>
      <c r="N911" t="str">
        <v>1</v>
      </c>
      <c r="S911">
        <v>1006</v>
      </c>
    </row>
    <row r="912">
      <c r="J912" t="str">
        <v>인알파코리아</v>
      </c>
      <c r="L912" t="str">
        <v>50010755C</v>
      </c>
      <c r="N912" t="str">
        <v>2,644</v>
      </c>
      <c r="S912">
        <v>1006</v>
      </c>
    </row>
    <row r="913">
      <c r="J913" t="str">
        <v>인알파코리아</v>
      </c>
      <c r="L913" t="str">
        <v>50010779B</v>
      </c>
      <c r="N913" t="str">
        <v>3,787</v>
      </c>
      <c r="S913">
        <v>1011.5999999999999</v>
      </c>
    </row>
    <row r="914">
      <c r="J914" t="str">
        <v>인알파코리아</v>
      </c>
      <c r="L914" t="str">
        <v>50010980B</v>
      </c>
      <c r="N914" t="str">
        <v>2,093</v>
      </c>
      <c r="S914">
        <v>1104.2</v>
      </c>
    </row>
    <row r="915">
      <c r="J915" t="str">
        <v>인알파코리아</v>
      </c>
      <c r="L915" t="str">
        <v>50011444D</v>
      </c>
      <c r="N915" t="str">
        <v>8,447</v>
      </c>
      <c r="S915">
        <v>1001.2</v>
      </c>
    </row>
    <row r="916">
      <c r="J916" t="str">
        <v>인알파코리아</v>
      </c>
      <c r="L916" t="str">
        <v>50011449D</v>
      </c>
      <c r="N916" t="str">
        <v>7,375</v>
      </c>
      <c r="S916">
        <v>1011.5999999999999</v>
      </c>
    </row>
    <row r="917">
      <c r="J917" t="str">
        <v>인알파코리아</v>
      </c>
      <c r="L917" t="str">
        <v>50011644C</v>
      </c>
      <c r="N917" t="str">
        <v>1,660</v>
      </c>
      <c r="S917">
        <v>1011.5999999999999</v>
      </c>
    </row>
    <row r="918">
      <c r="J918" t="str">
        <v>신성테크</v>
      </c>
      <c r="L918" t="str">
        <v>50011800</v>
      </c>
      <c r="N918" t="str">
        <v>1</v>
      </c>
      <c r="S918">
        <v>1006</v>
      </c>
    </row>
    <row r="919">
      <c r="J919" t="str">
        <v>신성테크</v>
      </c>
      <c r="L919" t="str">
        <v>50011801</v>
      </c>
      <c r="N919" t="str">
        <v>1</v>
      </c>
      <c r="S919">
        <v>1006</v>
      </c>
    </row>
    <row r="920">
      <c r="J920" t="str">
        <v>인알파코리아</v>
      </c>
      <c r="L920" t="str">
        <v>50011721D</v>
      </c>
      <c r="N920" t="str">
        <v>1,832</v>
      </c>
      <c r="S920">
        <v>1006</v>
      </c>
    </row>
    <row r="921">
      <c r="J921" t="str">
        <v>태창금속</v>
      </c>
      <c r="L921" t="str">
        <v>50014463A</v>
      </c>
      <c r="N921" t="str">
        <v>3,104</v>
      </c>
      <c r="S921">
        <v>1001.2</v>
      </c>
    </row>
    <row r="922">
      <c r="J922" t="str">
        <v>신성테크</v>
      </c>
      <c r="L922" t="str">
        <v>50011800</v>
      </c>
      <c r="N922" t="str">
        <v>1</v>
      </c>
      <c r="S922">
        <v>1006</v>
      </c>
    </row>
    <row r="923">
      <c r="J923" t="str">
        <v>신성테크</v>
      </c>
      <c r="L923" t="str">
        <v>50011801</v>
      </c>
      <c r="N923" t="str">
        <v>1</v>
      </c>
      <c r="S923">
        <v>1006</v>
      </c>
    </row>
    <row r="924">
      <c r="J924" t="str">
        <v>인알파코리아</v>
      </c>
      <c r="L924" t="str">
        <v>50014463A</v>
      </c>
      <c r="N924" t="str">
        <v>3,104</v>
      </c>
      <c r="S924">
        <v>1001.2</v>
      </c>
    </row>
    <row r="925">
      <c r="J925" t="str">
        <v>인알파코리아</v>
      </c>
      <c r="L925" t="str">
        <v>50011899B</v>
      </c>
      <c r="N925" t="str">
        <v>2,403</v>
      </c>
      <c r="S925">
        <v>1006</v>
      </c>
    </row>
    <row r="926">
      <c r="J926" t="str">
        <v>인알파코리아</v>
      </c>
      <c r="L926" t="str">
        <v>50011937C</v>
      </c>
      <c r="N926" t="str">
        <v>137</v>
      </c>
      <c r="S926">
        <v>1001.2</v>
      </c>
    </row>
    <row r="927">
      <c r="J927" t="str">
        <v>신성테크</v>
      </c>
      <c r="L927" t="str">
        <v>50011937C</v>
      </c>
      <c r="N927" t="str">
        <v>137</v>
      </c>
      <c r="S927">
        <v>1006</v>
      </c>
    </row>
    <row r="928">
      <c r="J928" t="str">
        <v>인알파코리아</v>
      </c>
      <c r="L928" t="str">
        <v>50011938C</v>
      </c>
      <c r="N928" t="str">
        <v>137</v>
      </c>
      <c r="S928">
        <v>1006</v>
      </c>
    </row>
    <row r="929">
      <c r="J929" t="str">
        <v>신성테크</v>
      </c>
      <c r="L929" t="str">
        <v>50011938C</v>
      </c>
      <c r="N929" t="str">
        <v>137</v>
      </c>
      <c r="S929">
        <v>1006</v>
      </c>
    </row>
    <row r="930">
      <c r="J930" t="str">
        <v>인알파코리아</v>
      </c>
      <c r="L930" t="str">
        <v>50011939B</v>
      </c>
      <c r="N930" t="str">
        <v>519</v>
      </c>
      <c r="S930">
        <v>1006</v>
      </c>
    </row>
    <row r="931">
      <c r="J931" t="str">
        <v>신성테크</v>
      </c>
      <c r="L931" t="str">
        <v>50011939B</v>
      </c>
      <c r="N931" t="str">
        <v>519</v>
      </c>
      <c r="S931">
        <v>1006</v>
      </c>
    </row>
    <row r="932">
      <c r="J932" t="str">
        <v>인알파코리아</v>
      </c>
      <c r="L932" t="str">
        <v>50011941B</v>
      </c>
      <c r="N932" t="str">
        <v>519</v>
      </c>
      <c r="S932">
        <v>1006</v>
      </c>
    </row>
    <row r="933">
      <c r="J933" t="str">
        <v>신성테크</v>
      </c>
      <c r="L933" t="str">
        <v>50011941B</v>
      </c>
      <c r="N933" t="str">
        <v>519</v>
      </c>
      <c r="S933">
        <v>1006</v>
      </c>
    </row>
    <row r="934">
      <c r="J934" t="str">
        <v>인알파코리아</v>
      </c>
      <c r="L934" t="str">
        <v>50011944C</v>
      </c>
      <c r="N934" t="str">
        <v>204</v>
      </c>
      <c r="S934">
        <v>1006</v>
      </c>
    </row>
    <row r="935">
      <c r="J935" t="str">
        <v>신성테크</v>
      </c>
      <c r="L935" t="str">
        <v>50011944C</v>
      </c>
      <c r="N935" t="str">
        <v>204</v>
      </c>
      <c r="S935">
        <v>1006</v>
      </c>
    </row>
    <row r="936">
      <c r="J936" t="str">
        <v>인알파코리아</v>
      </c>
      <c r="L936" t="str">
        <v>50011955C</v>
      </c>
      <c r="N936" t="str">
        <v>204</v>
      </c>
      <c r="S936">
        <v>1006</v>
      </c>
    </row>
    <row r="937">
      <c r="J937" t="str">
        <v>신성테크</v>
      </c>
      <c r="L937" t="str">
        <v>50011955C</v>
      </c>
      <c r="N937" t="str">
        <v>204</v>
      </c>
      <c r="S937">
        <v>1006</v>
      </c>
    </row>
    <row r="938">
      <c r="J938" t="str">
        <v>인알파코리아</v>
      </c>
      <c r="L938" t="str">
        <v>50011957A</v>
      </c>
      <c r="N938" t="str">
        <v>587</v>
      </c>
      <c r="S938">
        <v>1006</v>
      </c>
    </row>
    <row r="939">
      <c r="J939" t="str">
        <v>신성테크</v>
      </c>
      <c r="L939" t="str">
        <v>50011957A</v>
      </c>
      <c r="N939" t="str">
        <v>587</v>
      </c>
      <c r="S939">
        <v>1006</v>
      </c>
    </row>
    <row r="940">
      <c r="J940" t="str">
        <v>인알파코리아</v>
      </c>
      <c r="L940" t="str">
        <v>50012088C</v>
      </c>
      <c r="N940" t="str">
        <v>8,447</v>
      </c>
      <c r="S940">
        <v>1006</v>
      </c>
    </row>
    <row r="941">
      <c r="J941" t="str">
        <v>인알파코리아</v>
      </c>
      <c r="L941" t="str">
        <v>50012093B</v>
      </c>
      <c r="N941" t="str">
        <v>7,375</v>
      </c>
      <c r="S941">
        <v>1011.5999999999999</v>
      </c>
    </row>
    <row r="942">
      <c r="J942" t="str">
        <v>인알파코리아</v>
      </c>
      <c r="L942" t="str">
        <v>50012110C</v>
      </c>
      <c r="N942" t="str">
        <v>88</v>
      </c>
      <c r="S942">
        <v>1011.5999999999999</v>
      </c>
    </row>
    <row r="943">
      <c r="J943" t="str">
        <v>신성테크</v>
      </c>
      <c r="L943" t="str">
        <v>50011800</v>
      </c>
      <c r="N943" t="str">
        <v>1</v>
      </c>
      <c r="S943">
        <v>1006</v>
      </c>
    </row>
    <row r="944">
      <c r="J944" t="str">
        <v>신성테크</v>
      </c>
      <c r="L944" t="str">
        <v>50011801</v>
      </c>
      <c r="N944" t="str">
        <v>1</v>
      </c>
      <c r="S944">
        <v>1006</v>
      </c>
    </row>
    <row r="945">
      <c r="J945" t="str">
        <v>인알파코리아</v>
      </c>
      <c r="L945" t="str">
        <v>50012234C</v>
      </c>
      <c r="N945" t="str">
        <v>3,578</v>
      </c>
      <c r="S945">
        <v>1006</v>
      </c>
    </row>
    <row r="946">
      <c r="J946" t="str">
        <v>인알파코리아</v>
      </c>
      <c r="L946" t="str">
        <v>50012438D</v>
      </c>
      <c r="N946" t="str">
        <v>14,698</v>
      </c>
      <c r="S946">
        <v>1055.2</v>
      </c>
    </row>
    <row r="947">
      <c r="J947" t="str">
        <v>인알파코리아</v>
      </c>
      <c r="L947" t="str">
        <v>50013138A</v>
      </c>
      <c r="N947" t="str">
        <v>3,828</v>
      </c>
      <c r="S947">
        <v>1130.6</v>
      </c>
    </row>
    <row r="948">
      <c r="J948" t="str">
        <v>인알파코리아</v>
      </c>
      <c r="L948" t="str">
        <v>50014694A</v>
      </c>
      <c r="N948" t="str">
        <v>3,104</v>
      </c>
      <c r="S948">
        <v>999.6</v>
      </c>
    </row>
    <row r="949">
      <c r="J949" t="str">
        <v>신성테크</v>
      </c>
      <c r="L949" t="str">
        <v>50010567</v>
      </c>
      <c r="N949" t="str">
        <v>1</v>
      </c>
      <c r="S949">
        <v>1006</v>
      </c>
    </row>
    <row r="950">
      <c r="J950" t="str">
        <v>신성테크</v>
      </c>
      <c r="L950" t="str">
        <v>50010569</v>
      </c>
      <c r="N950" t="str">
        <v>1</v>
      </c>
      <c r="S950">
        <v>1006</v>
      </c>
    </row>
    <row r="951">
      <c r="J951" t="str">
        <v>인알파코리아</v>
      </c>
      <c r="L951" t="str">
        <v>50014454B</v>
      </c>
      <c r="N951" t="str">
        <v>24</v>
      </c>
      <c r="S951">
        <v>1006</v>
      </c>
    </row>
    <row r="952">
      <c r="J952" t="str">
        <v>신성테크</v>
      </c>
      <c r="L952" t="str">
        <v>50014454</v>
      </c>
      <c r="N952" t="str">
        <v>1</v>
      </c>
      <c r="S952">
        <v>995</v>
      </c>
    </row>
    <row r="953">
      <c r="J953" t="str">
        <v>아신금속</v>
      </c>
      <c r="L953" t="str">
        <v>12900-06201</v>
      </c>
      <c r="N953" t="str">
        <v>24</v>
      </c>
      <c r="S953">
        <v>995</v>
      </c>
    </row>
    <row r="954">
      <c r="J954" t="str">
        <v>인알파코리아</v>
      </c>
      <c r="L954" t="str">
        <v>50011349B</v>
      </c>
      <c r="N954" t="str">
        <v>14,730</v>
      </c>
      <c r="S954">
        <v>995</v>
      </c>
    </row>
    <row r="955">
      <c r="J955" t="str">
        <v>인알파코리아</v>
      </c>
      <c r="L955" t="str">
        <v>50011382D</v>
      </c>
      <c r="N955" t="str">
        <v>3,475</v>
      </c>
      <c r="S955">
        <v>1130.6</v>
      </c>
    </row>
    <row r="956">
      <c r="J956" t="str">
        <v>인알파코리아</v>
      </c>
      <c r="L956" t="str">
        <v>50011307B</v>
      </c>
      <c r="N956" t="str">
        <v>1,246</v>
      </c>
      <c r="S956">
        <v>1046.6</v>
      </c>
    </row>
    <row r="957">
      <c r="J957" t="str">
        <v>인알파코리아</v>
      </c>
      <c r="L957" t="str">
        <v>50011106C</v>
      </c>
      <c r="N957" t="str">
        <v>187</v>
      </c>
      <c r="S957">
        <v>1076</v>
      </c>
    </row>
    <row r="958">
      <c r="J958" t="str">
        <v>제이에스테크</v>
      </c>
      <c r="L958" t="str">
        <v>50011106C</v>
      </c>
      <c r="N958" t="str">
        <v>187</v>
      </c>
      <c r="S958">
        <v>1122</v>
      </c>
    </row>
    <row r="959">
      <c r="J959" t="str">
        <v>인알파코리아</v>
      </c>
      <c r="L959" t="str">
        <v>50032843A</v>
      </c>
      <c r="N959" t="str">
        <v>218</v>
      </c>
      <c r="S959">
        <v>1122</v>
      </c>
    </row>
    <row r="960">
      <c r="J960" t="str">
        <v>신성테크</v>
      </c>
      <c r="L960" t="str">
        <v>50032843A</v>
      </c>
      <c r="N960" t="str">
        <v>218</v>
      </c>
      <c r="S960">
        <v>1006</v>
      </c>
    </row>
    <row r="961">
      <c r="J961" t="str">
        <v>인알파코리아</v>
      </c>
      <c r="L961" t="str">
        <v>50032844A</v>
      </c>
      <c r="N961" t="str">
        <v>218</v>
      </c>
      <c r="S961">
        <v>1006</v>
      </c>
    </row>
    <row r="962">
      <c r="J962" t="str">
        <v>신성테크</v>
      </c>
      <c r="L962" t="str">
        <v>50032844A</v>
      </c>
      <c r="N962" t="str">
        <v>218</v>
      </c>
      <c r="S962">
        <v>1006</v>
      </c>
    </row>
  </sheetData>
  <ignoredErrors>
    <ignoredError numberStoredAsText="1" sqref="A1:AJ962"/>
  </ignoredErrors>
</worksheet>
</file>

<file path=xl/worksheets/sheet6.xml><?xml version="1.0" encoding="utf-8"?>
<worksheet xmlns="http://schemas.openxmlformats.org/spreadsheetml/2006/main" xmlns:r="http://schemas.openxmlformats.org/officeDocument/2006/relationships">
  <dimension ref="A1:T251"/>
  <sheetViews>
    <sheetView workbookViewId="0" rightToLeft="0"/>
  </sheetViews>
  <sheetData>
    <row r="1">
      <c r="A1" t="str">
        <v>50010562C</v>
      </c>
      <c r="B1">
        <v>785</v>
      </c>
      <c r="C1" t="str">
        <v>태영금속</v>
      </c>
      <c r="D1" t="str">
        <v>4월기준</v>
      </c>
    </row>
    <row r="2">
      <c r="A2" t="str">
        <v>69174-DO000</v>
      </c>
      <c r="B2">
        <v>1203</v>
      </c>
      <c r="C2" t="str">
        <v>태영금속</v>
      </c>
      <c r="D2" t="str">
        <v>4월기준</v>
      </c>
    </row>
    <row r="3">
      <c r="A3" t="str">
        <v>69184-DO000</v>
      </c>
      <c r="B3">
        <v>1203</v>
      </c>
      <c r="C3" t="str">
        <v>태영금속</v>
      </c>
      <c r="D3" t="str">
        <v>4월기준</v>
      </c>
    </row>
    <row r="4">
      <c r="A4" t="str">
        <v>69158-DO000</v>
      </c>
      <c r="B4">
        <v>451</v>
      </c>
      <c r="C4" t="str">
        <v>태영금속</v>
      </c>
      <c r="D4" t="str">
        <v>4월기준</v>
      </c>
    </row>
    <row r="5">
      <c r="A5" t="str">
        <v>69168-DO000</v>
      </c>
      <c r="B5">
        <v>450</v>
      </c>
      <c r="C5" t="str">
        <v>태영금속</v>
      </c>
      <c r="D5" t="str">
        <v>4월기준</v>
      </c>
    </row>
    <row r="6">
      <c r="A6" t="str">
        <v>69118-DO000</v>
      </c>
      <c r="B6">
        <v>158</v>
      </c>
      <c r="C6" t="str">
        <v>태영금속</v>
      </c>
      <c r="D6" t="str">
        <v>4월기준</v>
      </c>
    </row>
    <row r="7">
      <c r="A7" t="str">
        <v>50011721C</v>
      </c>
      <c r="B7">
        <v>2169</v>
      </c>
      <c r="C7" t="str">
        <v>창경에스테크</v>
      </c>
      <c r="D7" t="str">
        <v>4월기준</v>
      </c>
    </row>
    <row r="8">
      <c r="A8" t="str">
        <v>50007278B</v>
      </c>
      <c r="B8">
        <v>2631</v>
      </c>
      <c r="C8" t="str">
        <v>창경에스테크</v>
      </c>
      <c r="D8" t="str">
        <v>4월기준</v>
      </c>
    </row>
    <row r="9">
      <c r="A9" t="str">
        <v>50010755C</v>
      </c>
      <c r="B9">
        <v>2644</v>
      </c>
      <c r="C9" t="str">
        <v>창경에스테크</v>
      </c>
      <c r="D9" t="str">
        <v>4월기준</v>
      </c>
    </row>
    <row r="10">
      <c r="A10" t="str">
        <v>50012110B</v>
      </c>
      <c r="B10">
        <v>1707</v>
      </c>
      <c r="C10" t="str">
        <v>창경에스테크</v>
      </c>
      <c r="D10" t="str">
        <v>4월기준</v>
      </c>
    </row>
    <row r="11">
      <c r="A11" t="str">
        <v>651M7-L2000</v>
      </c>
      <c r="B11">
        <v>298.6</v>
      </c>
      <c r="C11" t="str">
        <v>웅지테크</v>
      </c>
      <c r="D11" t="str">
        <v>4월기준</v>
      </c>
    </row>
    <row r="12">
      <c r="A12" t="str">
        <v>65158-L8000</v>
      </c>
      <c r="B12">
        <v>561</v>
      </c>
      <c r="C12" t="str">
        <v>웅지테크</v>
      </c>
      <c r="D12" t="str">
        <v>4월기준</v>
      </c>
    </row>
    <row r="13">
      <c r="A13" t="str">
        <v>65168-L8000</v>
      </c>
      <c r="B13">
        <v>561</v>
      </c>
      <c r="C13" t="str">
        <v>웅지테크</v>
      </c>
      <c r="D13" t="str">
        <v>4월기준</v>
      </c>
    </row>
    <row r="14">
      <c r="A14" t="str">
        <v>651E3-L8000</v>
      </c>
      <c r="B14">
        <v>391.68</v>
      </c>
      <c r="C14" t="str">
        <v>웅지테크</v>
      </c>
      <c r="D14" t="str">
        <v>4월기준</v>
      </c>
    </row>
    <row r="15">
      <c r="A15" t="str">
        <v>651F3-L8000</v>
      </c>
      <c r="B15">
        <v>391.68</v>
      </c>
      <c r="C15" t="str">
        <v>웅지테크</v>
      </c>
      <c r="D15" t="str">
        <v>4월기준</v>
      </c>
    </row>
    <row r="16">
      <c r="A16" t="str">
        <v>651E4-L8000</v>
      </c>
      <c r="B16">
        <v>279</v>
      </c>
      <c r="C16" t="str">
        <v>웅지테크</v>
      </c>
      <c r="D16" t="str">
        <v>4월기준</v>
      </c>
    </row>
    <row r="17">
      <c r="A17" t="str">
        <v>651F4-L8000</v>
      </c>
      <c r="B17">
        <v>279</v>
      </c>
      <c r="C17" t="str">
        <v>웅지테크</v>
      </c>
      <c r="D17" t="str">
        <v>4월기준</v>
      </c>
    </row>
    <row r="18">
      <c r="A18" t="str">
        <v>65278-L8000</v>
      </c>
      <c r="B18">
        <v>232</v>
      </c>
      <c r="C18" t="str">
        <v>웅지테크</v>
      </c>
      <c r="D18" t="str">
        <v>4월기준</v>
      </c>
    </row>
    <row r="19">
      <c r="A19" t="str">
        <v>65116-L3400</v>
      </c>
      <c r="B19">
        <v>935</v>
      </c>
      <c r="C19" t="str">
        <v>웅지테크</v>
      </c>
      <c r="D19" t="str">
        <v>4월기준</v>
      </c>
    </row>
    <row r="20">
      <c r="A20" t="str">
        <v>65126-L3400</v>
      </c>
      <c r="B20">
        <v>931</v>
      </c>
      <c r="C20" t="str">
        <v>웅지테크</v>
      </c>
      <c r="D20" t="str">
        <v>4월기준</v>
      </c>
    </row>
    <row r="21">
      <c r="A21" t="str">
        <v>65136-L8000</v>
      </c>
      <c r="B21">
        <v>205</v>
      </c>
      <c r="C21" t="str">
        <v>웅지테크</v>
      </c>
      <c r="D21" t="str">
        <v>4월기준</v>
      </c>
    </row>
    <row r="22">
      <c r="A22" t="str">
        <v>65136-L8400</v>
      </c>
      <c r="B22">
        <v>335</v>
      </c>
      <c r="C22" t="str">
        <v>웅지테크</v>
      </c>
      <c r="D22" t="str">
        <v>4월기준</v>
      </c>
    </row>
    <row r="23">
      <c r="A23" t="str">
        <v>65158-L8000/</v>
      </c>
      <c r="B23">
        <v>561</v>
      </c>
      <c r="C23" t="str">
        <v>웅지테크</v>
      </c>
      <c r="D23" t="str">
        <v>4월기준</v>
      </c>
    </row>
    <row r="24">
      <c r="A24" t="str">
        <v>65168-L8000/</v>
      </c>
      <c r="B24">
        <v>561</v>
      </c>
      <c r="C24" t="str">
        <v>웅지테크</v>
      </c>
      <c r="D24" t="str">
        <v>4월기준</v>
      </c>
    </row>
    <row r="25">
      <c r="A25" t="str">
        <v>651E4-L8000/</v>
      </c>
      <c r="B25">
        <v>279</v>
      </c>
      <c r="C25" t="str">
        <v>웅지테크</v>
      </c>
      <c r="D25" t="str">
        <v>4월기준</v>
      </c>
    </row>
    <row r="26">
      <c r="A26" t="str">
        <v>651F4-L8000/</v>
      </c>
      <c r="B26">
        <v>279</v>
      </c>
      <c r="C26" t="str">
        <v>웅지테크</v>
      </c>
      <c r="D26" t="str">
        <v>4월기준</v>
      </c>
    </row>
    <row r="27">
      <c r="A27" t="str">
        <v>65278-L8000/</v>
      </c>
      <c r="B27">
        <v>232</v>
      </c>
      <c r="C27" t="str">
        <v>웅지테크</v>
      </c>
      <c r="D27" t="str">
        <v>4월기준</v>
      </c>
    </row>
    <row r="28">
      <c r="A28" t="str">
        <v>65116-L3400/</v>
      </c>
      <c r="B28">
        <v>935</v>
      </c>
      <c r="C28" t="str">
        <v>웅지테크</v>
      </c>
      <c r="D28" t="str">
        <v>4월기준</v>
      </c>
    </row>
    <row r="29">
      <c r="A29" t="str">
        <v>65126-L3400/</v>
      </c>
      <c r="B29">
        <v>931</v>
      </c>
      <c r="C29" t="str">
        <v>웅지테크</v>
      </c>
      <c r="D29" t="str">
        <v>4월기준</v>
      </c>
    </row>
    <row r="30">
      <c r="A30" t="str">
        <v>651M7-L8400</v>
      </c>
      <c r="B30">
        <v>369.9</v>
      </c>
      <c r="C30" t="str">
        <v>웅지테크</v>
      </c>
      <c r="D30" t="str">
        <v>4월기준</v>
      </c>
    </row>
    <row r="31">
      <c r="A31">
        <v>50010988</v>
      </c>
      <c r="B31">
        <v>587</v>
      </c>
      <c r="C31" t="str">
        <v>에이오에스</v>
      </c>
      <c r="D31" t="str">
        <v>4월기준</v>
      </c>
    </row>
    <row r="32">
      <c r="A32">
        <v>50010989</v>
      </c>
      <c r="B32">
        <v>587</v>
      </c>
      <c r="C32" t="str">
        <v>에이오에스</v>
      </c>
      <c r="D32" t="str">
        <v>4월기준</v>
      </c>
    </row>
    <row r="33">
      <c r="A33">
        <v>50010990</v>
      </c>
      <c r="B33">
        <v>612</v>
      </c>
      <c r="C33" t="str">
        <v>에이오에스</v>
      </c>
      <c r="D33" t="str">
        <v>4월기준</v>
      </c>
    </row>
    <row r="34">
      <c r="A34">
        <v>50010991</v>
      </c>
      <c r="B34">
        <v>612</v>
      </c>
      <c r="C34" t="str">
        <v>에이오에스</v>
      </c>
      <c r="D34" t="str">
        <v>4월기준</v>
      </c>
    </row>
    <row r="35">
      <c r="A35">
        <v>50008630</v>
      </c>
      <c r="B35">
        <v>576</v>
      </c>
      <c r="C35" t="str">
        <v>에이오에스</v>
      </c>
      <c r="D35" t="str">
        <v>4월기준</v>
      </c>
    </row>
    <row r="36">
      <c r="A36">
        <v>50008457</v>
      </c>
      <c r="B36">
        <v>440</v>
      </c>
      <c r="C36" t="str">
        <v>에이오에스</v>
      </c>
      <c r="D36" t="str">
        <v>4월기준</v>
      </c>
    </row>
    <row r="37">
      <c r="A37">
        <v>50008458</v>
      </c>
      <c r="B37">
        <v>440</v>
      </c>
      <c r="C37" t="str">
        <v>에이오에스</v>
      </c>
      <c r="D37" t="str">
        <v>4월기준</v>
      </c>
    </row>
    <row r="38">
      <c r="A38">
        <v>50008175</v>
      </c>
      <c r="B38">
        <v>965</v>
      </c>
      <c r="C38" t="str">
        <v>에이오에스</v>
      </c>
      <c r="D38" t="str">
        <v>4월기준</v>
      </c>
    </row>
    <row r="39">
      <c r="A39">
        <v>50008009</v>
      </c>
      <c r="B39">
        <v>592</v>
      </c>
      <c r="C39" t="str">
        <v>에이오에스</v>
      </c>
      <c r="D39" t="str">
        <v>4월기준</v>
      </c>
    </row>
    <row r="40">
      <c r="A40">
        <v>50008904</v>
      </c>
      <c r="B40">
        <v>1491</v>
      </c>
      <c r="C40" t="str">
        <v>에이오에스</v>
      </c>
      <c r="D40" t="str">
        <v>4월기준</v>
      </c>
    </row>
    <row r="41">
      <c r="A41" t="str">
        <v>50011623A</v>
      </c>
      <c r="B41">
        <v>668</v>
      </c>
      <c r="C41" t="str">
        <v>에이오에스</v>
      </c>
      <c r="D41" t="str">
        <v>4월기준</v>
      </c>
    </row>
    <row r="42">
      <c r="A42" t="str">
        <v>50011624A</v>
      </c>
      <c r="B42">
        <v>668</v>
      </c>
      <c r="C42" t="str">
        <v>에이오에스</v>
      </c>
      <c r="D42" t="str">
        <v>4월기준</v>
      </c>
    </row>
    <row r="43">
      <c r="A43">
        <v>50009770</v>
      </c>
      <c r="B43">
        <v>131</v>
      </c>
      <c r="C43" t="str">
        <v>에이오에스</v>
      </c>
      <c r="D43" t="str">
        <v>4월기준</v>
      </c>
    </row>
    <row r="44">
      <c r="A44">
        <v>50009772</v>
      </c>
      <c r="B44">
        <v>131</v>
      </c>
      <c r="C44" t="str">
        <v>에이오에스</v>
      </c>
      <c r="D44" t="str">
        <v>4월기준</v>
      </c>
    </row>
    <row r="45">
      <c r="A45" t="str">
        <v>50009975B</v>
      </c>
      <c r="B45">
        <v>130</v>
      </c>
      <c r="C45" t="str">
        <v>에이오에스</v>
      </c>
      <c r="D45" t="str">
        <v>4월기준</v>
      </c>
    </row>
    <row r="46">
      <c r="A46" t="str">
        <v>50009977B</v>
      </c>
      <c r="B46">
        <v>130</v>
      </c>
      <c r="C46" t="str">
        <v>에이오에스</v>
      </c>
      <c r="D46" t="str">
        <v>4월기준</v>
      </c>
    </row>
    <row r="47">
      <c r="A47">
        <v>50009745</v>
      </c>
      <c r="B47">
        <v>57</v>
      </c>
      <c r="C47" t="str">
        <v>에이오에스</v>
      </c>
      <c r="D47" t="str">
        <v>4월기준</v>
      </c>
    </row>
    <row r="48">
      <c r="A48">
        <v>50009877</v>
      </c>
      <c r="B48">
        <v>40</v>
      </c>
      <c r="C48" t="str">
        <v>에이오에스</v>
      </c>
      <c r="D48" t="str">
        <v>4월기준</v>
      </c>
    </row>
    <row r="49">
      <c r="A49">
        <v>50009878</v>
      </c>
      <c r="B49">
        <v>40</v>
      </c>
      <c r="C49" t="str">
        <v>에이오에스</v>
      </c>
      <c r="D49" t="str">
        <v>4월기준</v>
      </c>
    </row>
    <row r="50">
      <c r="A50">
        <v>50010027</v>
      </c>
      <c r="B50">
        <v>65</v>
      </c>
      <c r="C50" t="str">
        <v>에이오에스</v>
      </c>
      <c r="D50" t="str">
        <v>4월기준</v>
      </c>
    </row>
    <row r="51">
      <c r="A51">
        <v>50010086</v>
      </c>
      <c r="B51">
        <v>39</v>
      </c>
      <c r="C51" t="str">
        <v>에이오에스</v>
      </c>
      <c r="D51" t="str">
        <v>4월기준</v>
      </c>
    </row>
    <row r="52">
      <c r="A52" t="str">
        <v>50011944C</v>
      </c>
      <c r="B52">
        <v>204</v>
      </c>
      <c r="C52" t="str">
        <v>에이오에스</v>
      </c>
      <c r="D52" t="str">
        <v>4월기준</v>
      </c>
    </row>
    <row r="53">
      <c r="A53" t="str">
        <v>50011955C</v>
      </c>
      <c r="B53">
        <v>204</v>
      </c>
      <c r="C53" t="str">
        <v>에이오에스</v>
      </c>
      <c r="D53" t="str">
        <v>4월기준</v>
      </c>
    </row>
    <row r="54">
      <c r="A54" t="str">
        <v>50011939B</v>
      </c>
      <c r="B54">
        <v>508</v>
      </c>
      <c r="C54" t="str">
        <v>에이오에스</v>
      </c>
      <c r="D54" t="str">
        <v>4월기준</v>
      </c>
    </row>
    <row r="55">
      <c r="A55" t="str">
        <v>50011941B</v>
      </c>
      <c r="B55">
        <v>508</v>
      </c>
      <c r="C55" t="str">
        <v>에이오에스</v>
      </c>
      <c r="D55" t="str">
        <v>4월기준</v>
      </c>
    </row>
    <row r="56">
      <c r="A56" t="str">
        <v>50011957A</v>
      </c>
      <c r="B56">
        <v>576</v>
      </c>
      <c r="C56" t="str">
        <v>에이오에스</v>
      </c>
      <c r="D56" t="str">
        <v>4월기준</v>
      </c>
    </row>
    <row r="57">
      <c r="A57" t="str">
        <v>50011937C</v>
      </c>
      <c r="B57">
        <v>137</v>
      </c>
      <c r="C57" t="str">
        <v>에이오에스</v>
      </c>
      <c r="D57" t="str">
        <v>4월기준</v>
      </c>
    </row>
    <row r="58">
      <c r="A58" t="str">
        <v>50011938C</v>
      </c>
      <c r="B58">
        <v>137</v>
      </c>
      <c r="C58" t="str">
        <v>에이오에스</v>
      </c>
      <c r="D58" t="str">
        <v>4월기준</v>
      </c>
    </row>
    <row r="59">
      <c r="A59">
        <v>50010992</v>
      </c>
      <c r="B59">
        <v>398</v>
      </c>
      <c r="C59" t="str">
        <v>에이오에스</v>
      </c>
      <c r="D59" t="str">
        <v>4월기준</v>
      </c>
    </row>
    <row r="60">
      <c r="A60">
        <v>50010993</v>
      </c>
      <c r="B60">
        <v>398</v>
      </c>
      <c r="C60" t="str">
        <v>에이오에스</v>
      </c>
      <c r="D60" t="str">
        <v>4월기준</v>
      </c>
    </row>
    <row r="61">
      <c r="A61">
        <v>50010567</v>
      </c>
      <c r="B61">
        <v>41</v>
      </c>
      <c r="C61" t="str">
        <v>에이오에스</v>
      </c>
      <c r="D61" t="str">
        <v>4월기준</v>
      </c>
    </row>
    <row r="62">
      <c r="A62">
        <v>50010569</v>
      </c>
      <c r="B62">
        <v>41</v>
      </c>
      <c r="C62" t="str">
        <v>에이오에스</v>
      </c>
      <c r="D62" t="str">
        <v>4월기준</v>
      </c>
    </row>
    <row r="63">
      <c r="A63">
        <v>50011800</v>
      </c>
      <c r="B63">
        <v>44</v>
      </c>
      <c r="C63" t="str">
        <v>에이오에스</v>
      </c>
      <c r="D63" t="str">
        <v>4월기준</v>
      </c>
    </row>
    <row r="64">
      <c r="A64">
        <v>50011801</v>
      </c>
      <c r="B64">
        <v>44</v>
      </c>
      <c r="C64" t="str">
        <v>에이오에스</v>
      </c>
      <c r="D64" t="str">
        <v>4월기준</v>
      </c>
    </row>
    <row r="65">
      <c r="A65" t="str">
        <v>50000018C</v>
      </c>
      <c r="B65">
        <v>298</v>
      </c>
      <c r="C65" t="str">
        <v>에이오에스</v>
      </c>
      <c r="D65" t="str">
        <v>4월기준</v>
      </c>
    </row>
    <row r="66">
      <c r="A66" t="str">
        <v>69116-DO000</v>
      </c>
      <c r="B66">
        <v>529</v>
      </c>
      <c r="C66" t="str">
        <v>에이오에스</v>
      </c>
      <c r="D66" t="str">
        <v>4월기준</v>
      </c>
    </row>
    <row r="67">
      <c r="A67" t="str">
        <v>81836-R0500</v>
      </c>
      <c r="B67">
        <v>462.51000000000005</v>
      </c>
      <c r="C67" t="str">
        <v>에이오에스</v>
      </c>
      <c r="D67" t="str">
        <v>4월기준</v>
      </c>
    </row>
    <row r="68">
      <c r="A68" t="str">
        <v>81846-R0500</v>
      </c>
      <c r="B68">
        <v>462.51000000000005</v>
      </c>
      <c r="C68" t="str">
        <v>에이오에스</v>
      </c>
      <c r="D68" t="str">
        <v>4월기준</v>
      </c>
    </row>
    <row r="69">
      <c r="A69" t="str">
        <v>81836-R0600</v>
      </c>
      <c r="B69">
        <v>575.4200000000001</v>
      </c>
      <c r="C69" t="str">
        <v>에이오에스</v>
      </c>
      <c r="D69" t="str">
        <v>4월기준</v>
      </c>
    </row>
    <row r="70">
      <c r="A70" t="str">
        <v>81846-R0600</v>
      </c>
      <c r="B70">
        <v>575.4200000000001</v>
      </c>
      <c r="C70" t="str">
        <v>에이오에스</v>
      </c>
      <c r="D70" t="str">
        <v>4월기준</v>
      </c>
    </row>
    <row r="71">
      <c r="A71" t="str">
        <v>50014454B</v>
      </c>
      <c r="B71">
        <v>118.4</v>
      </c>
      <c r="C71" t="str">
        <v>에이오에스</v>
      </c>
      <c r="D71" t="str">
        <v>4월기준</v>
      </c>
    </row>
    <row r="72">
      <c r="A72" t="str">
        <v>50032843A</v>
      </c>
      <c r="B72">
        <v>218</v>
      </c>
      <c r="C72" t="str">
        <v>에이오에스</v>
      </c>
      <c r="D72" t="str">
        <v>4월기준</v>
      </c>
    </row>
    <row r="73">
      <c r="A73" t="str">
        <v>50032844A</v>
      </c>
      <c r="B73">
        <v>218</v>
      </c>
      <c r="C73" t="str">
        <v>에이오에스</v>
      </c>
      <c r="D73" t="str">
        <v>4월기준</v>
      </c>
    </row>
    <row r="74">
      <c r="A74">
        <v>50011385</v>
      </c>
      <c r="B74">
        <v>2680</v>
      </c>
      <c r="C74" t="str">
        <v>신성산업</v>
      </c>
      <c r="D74" t="str">
        <v>4월기준</v>
      </c>
    </row>
    <row r="75">
      <c r="A75">
        <v>50011384</v>
      </c>
      <c r="B75">
        <v>773</v>
      </c>
      <c r="C75" t="str">
        <v>신성산업</v>
      </c>
      <c r="D75" t="str">
        <v>4월기준</v>
      </c>
    </row>
    <row r="76">
      <c r="A76" t="str">
        <v>50011106C</v>
      </c>
      <c r="B76">
        <v>177</v>
      </c>
      <c r="C76" t="str">
        <v>광성산업</v>
      </c>
      <c r="D76" t="str">
        <v>4월기준</v>
      </c>
    </row>
    <row r="77">
      <c r="A77" t="str">
        <v>50009766A</v>
      </c>
      <c r="B77">
        <v>513</v>
      </c>
      <c r="C77" t="str">
        <v>제이에스테크</v>
      </c>
      <c r="D77" t="str">
        <v>4월기준</v>
      </c>
    </row>
    <row r="78">
      <c r="A78" t="str">
        <v>50009768A</v>
      </c>
      <c r="B78">
        <v>513</v>
      </c>
      <c r="C78" t="str">
        <v>제이에스테크</v>
      </c>
      <c r="D78" t="str">
        <v>4월기준</v>
      </c>
    </row>
    <row r="79">
      <c r="A79" t="str">
        <v>50009971C</v>
      </c>
      <c r="B79">
        <v>508</v>
      </c>
      <c r="C79" t="str">
        <v>제이에스테크</v>
      </c>
      <c r="D79" t="str">
        <v>4월기준</v>
      </c>
    </row>
    <row r="80">
      <c r="A80" t="str">
        <v>50009973C</v>
      </c>
      <c r="B80">
        <v>508</v>
      </c>
      <c r="C80" t="str">
        <v>제이에스테크</v>
      </c>
      <c r="D80" t="str">
        <v>4월기준</v>
      </c>
    </row>
    <row r="81">
      <c r="A81" t="str">
        <v>69156-DO000</v>
      </c>
      <c r="B81">
        <v>349</v>
      </c>
      <c r="C81" t="str">
        <v>제이에스테크</v>
      </c>
      <c r="D81" t="str">
        <v>4월기준</v>
      </c>
    </row>
    <row r="82">
      <c r="A82" t="str">
        <v>69166-DO000</v>
      </c>
      <c r="B82">
        <v>349</v>
      </c>
      <c r="C82" t="str">
        <v>제이에스테크</v>
      </c>
      <c r="D82" t="str">
        <v>4월기준</v>
      </c>
    </row>
    <row r="83">
      <c r="A83" t="str">
        <v>69172-DO000</v>
      </c>
      <c r="B83">
        <v>266</v>
      </c>
      <c r="C83" t="str">
        <v>제이에스테크</v>
      </c>
      <c r="D83" t="str">
        <v>4월기준</v>
      </c>
    </row>
    <row r="84">
      <c r="A84" t="str">
        <v>69182-DO000</v>
      </c>
      <c r="B84">
        <v>266</v>
      </c>
      <c r="C84" t="str">
        <v>제이에스테크</v>
      </c>
      <c r="D84" t="str">
        <v>4월기준</v>
      </c>
    </row>
    <row r="85">
      <c r="A85" t="str">
        <v>728A1-R0500</v>
      </c>
      <c r="B85">
        <v>518</v>
      </c>
      <c r="C85" t="str">
        <v>제이에스테크</v>
      </c>
      <c r="D85" t="str">
        <v>4월기준</v>
      </c>
    </row>
    <row r="86">
      <c r="A86" t="str">
        <v>728B1-R0500</v>
      </c>
      <c r="B86">
        <v>518</v>
      </c>
      <c r="C86" t="str">
        <v>제이에스테크</v>
      </c>
      <c r="D86" t="str">
        <v>4월기준</v>
      </c>
    </row>
    <row r="87">
      <c r="A87" t="str">
        <v>72815-R0500</v>
      </c>
      <c r="B87">
        <v>645</v>
      </c>
      <c r="C87" t="str">
        <v>제이에스테크</v>
      </c>
      <c r="D87" t="str">
        <v>4월기준</v>
      </c>
    </row>
    <row r="88">
      <c r="A88" t="str">
        <v>72816-R0500</v>
      </c>
      <c r="B88">
        <v>645</v>
      </c>
      <c r="C88" t="str">
        <v>제이에스테크</v>
      </c>
      <c r="D88" t="str">
        <v>4월기준</v>
      </c>
    </row>
    <row r="89">
      <c r="A89" t="str">
        <v>65154-L8000</v>
      </c>
      <c r="B89">
        <v>986</v>
      </c>
      <c r="C89" t="str">
        <v>제이에스테크</v>
      </c>
      <c r="D89" t="str">
        <v>4월기준</v>
      </c>
    </row>
    <row r="90">
      <c r="A90" t="str">
        <v>65164-L8000</v>
      </c>
      <c r="B90">
        <v>986</v>
      </c>
      <c r="C90" t="str">
        <v>제이에스테크</v>
      </c>
      <c r="D90" t="str">
        <v>4월기준</v>
      </c>
    </row>
    <row r="91">
      <c r="A91" t="str">
        <v>65156-L8000</v>
      </c>
      <c r="B91">
        <v>1163</v>
      </c>
      <c r="C91" t="str">
        <v>제이에스테크</v>
      </c>
      <c r="D91" t="str">
        <v>4월기준</v>
      </c>
    </row>
    <row r="92">
      <c r="A92" t="str">
        <v>65166-L8000</v>
      </c>
      <c r="B92">
        <v>1163</v>
      </c>
      <c r="C92" t="str">
        <v>제이에스테크</v>
      </c>
      <c r="D92" t="str">
        <v>4월기준</v>
      </c>
    </row>
    <row r="93">
      <c r="A93" t="str">
        <v>651M8-L8000</v>
      </c>
      <c r="B93">
        <v>113</v>
      </c>
      <c r="C93" t="str">
        <v>제이에스테크</v>
      </c>
      <c r="D93" t="str">
        <v>4월기준</v>
      </c>
    </row>
    <row r="94">
      <c r="A94" t="str">
        <v>65136-L2800</v>
      </c>
      <c r="B94">
        <v>269</v>
      </c>
      <c r="C94" t="str">
        <v>제이에스테크</v>
      </c>
      <c r="D94" t="str">
        <v>4월기준</v>
      </c>
    </row>
    <row r="95">
      <c r="A95" t="str">
        <v>651M8-L2800</v>
      </c>
      <c r="B95">
        <v>305</v>
      </c>
      <c r="C95" t="str">
        <v>제이에스테크</v>
      </c>
      <c r="D95" t="str">
        <v>4월기준</v>
      </c>
    </row>
    <row r="96">
      <c r="A96" t="str">
        <v>69116-EV000</v>
      </c>
      <c r="B96">
        <v>484</v>
      </c>
      <c r="C96" t="str">
        <v>제이에스테크</v>
      </c>
      <c r="D96" t="str">
        <v>4월기준</v>
      </c>
    </row>
    <row r="97">
      <c r="A97" t="str">
        <v>69139-EV000</v>
      </c>
      <c r="B97">
        <v>59</v>
      </c>
      <c r="C97" t="str">
        <v>제이에스테크</v>
      </c>
      <c r="D97" t="str">
        <v>4월기준</v>
      </c>
    </row>
    <row r="98">
      <c r="A98" t="str">
        <v>69156-EV000</v>
      </c>
      <c r="B98">
        <v>328</v>
      </c>
      <c r="C98" t="str">
        <v>제이에스테크</v>
      </c>
      <c r="D98" t="str">
        <v>4월기준</v>
      </c>
    </row>
    <row r="99">
      <c r="A99" t="str">
        <v>69166-EV000</v>
      </c>
      <c r="B99">
        <v>328</v>
      </c>
      <c r="C99" t="str">
        <v>제이에스테크</v>
      </c>
      <c r="D99" t="str">
        <v>4월기준</v>
      </c>
    </row>
    <row r="100">
      <c r="A100">
        <v>50011308</v>
      </c>
      <c r="B100">
        <v>1200</v>
      </c>
      <c r="C100" t="str">
        <v>광성산업</v>
      </c>
      <c r="D100" t="str">
        <v>4월기준</v>
      </c>
    </row>
    <row r="101">
      <c r="A101">
        <v>50011833</v>
      </c>
      <c r="B101">
        <v>46</v>
      </c>
      <c r="C101" t="str">
        <v>제이에스테크</v>
      </c>
      <c r="D101" t="str">
        <v>4월기준</v>
      </c>
    </row>
    <row r="102">
      <c r="A102" t="str">
        <v>65152-L1000</v>
      </c>
      <c r="B102">
        <v>2425</v>
      </c>
      <c r="C102" t="str">
        <v>호원사급</v>
      </c>
      <c r="D102" t="str">
        <v>4월기준</v>
      </c>
    </row>
    <row r="103">
      <c r="A103" t="str">
        <v>65162-L1000</v>
      </c>
      <c r="B103">
        <v>2424</v>
      </c>
      <c r="C103" t="str">
        <v>호원사급</v>
      </c>
      <c r="D103" t="str">
        <v>4월기준</v>
      </c>
    </row>
    <row r="104">
      <c r="A104" t="str">
        <v>65152-L8000</v>
      </c>
      <c r="B104">
        <v>2439</v>
      </c>
      <c r="C104" t="str">
        <v>호원사급</v>
      </c>
      <c r="D104" t="str">
        <v>4월기준</v>
      </c>
    </row>
    <row r="105">
      <c r="A105" t="str">
        <v>65162-L8000</v>
      </c>
      <c r="B105">
        <v>2439</v>
      </c>
      <c r="C105" t="str">
        <v>호원사급</v>
      </c>
      <c r="D105" t="str">
        <v>4월기준</v>
      </c>
    </row>
    <row r="106">
      <c r="A106" t="str">
        <v>65158-L1000</v>
      </c>
      <c r="B106">
        <v>714</v>
      </c>
      <c r="C106" t="str">
        <v>호원사급</v>
      </c>
      <c r="D106" t="str">
        <v>4월기준</v>
      </c>
    </row>
    <row r="107">
      <c r="A107" t="str">
        <v>65168-L1000</v>
      </c>
      <c r="B107">
        <v>714</v>
      </c>
      <c r="C107" t="str">
        <v>호원사급</v>
      </c>
      <c r="D107" t="str">
        <v>4월기준</v>
      </c>
    </row>
    <row r="108">
      <c r="A108" t="str">
        <v>651E4-L1000</v>
      </c>
      <c r="B108">
        <v>389</v>
      </c>
      <c r="C108" t="str">
        <v>호원사급</v>
      </c>
      <c r="D108" t="str">
        <v>4월기준</v>
      </c>
    </row>
    <row r="109">
      <c r="A109" t="str">
        <v>651F4-L1000</v>
      </c>
      <c r="B109">
        <v>389</v>
      </c>
      <c r="C109" t="str">
        <v>호원사급</v>
      </c>
      <c r="D109" t="str">
        <v>4월기준</v>
      </c>
    </row>
    <row r="110">
      <c r="A110" t="str">
        <v>65176-L1000</v>
      </c>
      <c r="B110">
        <v>2323</v>
      </c>
      <c r="C110" t="str">
        <v>호원사급</v>
      </c>
      <c r="D110" t="str">
        <v>4월기준</v>
      </c>
    </row>
    <row r="111">
      <c r="A111" t="str">
        <v>65186-L1000</v>
      </c>
      <c r="B111">
        <v>2323</v>
      </c>
      <c r="C111" t="str">
        <v>호원사급</v>
      </c>
      <c r="D111" t="str">
        <v>4월기준</v>
      </c>
    </row>
    <row r="112">
      <c r="A112" t="str">
        <v>65154-L1000</v>
      </c>
      <c r="B112">
        <v>1210</v>
      </c>
      <c r="C112" t="str">
        <v>호원사급</v>
      </c>
      <c r="D112" t="str">
        <v>4월기준</v>
      </c>
    </row>
    <row r="113">
      <c r="A113" t="str">
        <v>65164-L1000</v>
      </c>
      <c r="B113">
        <v>1210</v>
      </c>
      <c r="C113" t="str">
        <v>호원사급</v>
      </c>
      <c r="D113" t="str">
        <v>4월기준</v>
      </c>
    </row>
    <row r="114">
      <c r="A114" t="str">
        <v>65156-L1000</v>
      </c>
      <c r="B114">
        <v>1106</v>
      </c>
      <c r="C114" t="str">
        <v>호원사급</v>
      </c>
      <c r="D114" t="str">
        <v>4월기준</v>
      </c>
    </row>
    <row r="115">
      <c r="A115" t="str">
        <v>65166-L1000</v>
      </c>
      <c r="B115">
        <v>1106</v>
      </c>
      <c r="C115" t="str">
        <v>호원사급</v>
      </c>
      <c r="D115" t="str">
        <v>4월기준</v>
      </c>
    </row>
    <row r="116">
      <c r="A116" t="str">
        <v>651E6-L1000</v>
      </c>
      <c r="B116">
        <v>455</v>
      </c>
      <c r="C116" t="str">
        <v>호원사급</v>
      </c>
      <c r="D116" t="str">
        <v>4월기준</v>
      </c>
    </row>
    <row r="117">
      <c r="A117" t="str">
        <v>651F6-L1000</v>
      </c>
      <c r="B117">
        <v>455</v>
      </c>
      <c r="C117" t="str">
        <v>호원사급</v>
      </c>
      <c r="D117" t="str">
        <v>4월기준</v>
      </c>
    </row>
    <row r="118">
      <c r="A118" t="str">
        <v>65282-L3400</v>
      </c>
      <c r="B118">
        <v>380</v>
      </c>
      <c r="C118" t="str">
        <v>호원사급</v>
      </c>
      <c r="D118" t="str">
        <v>4월기준</v>
      </c>
    </row>
    <row r="119">
      <c r="A119" t="str">
        <v>65292-L3400</v>
      </c>
      <c r="B119">
        <v>380</v>
      </c>
      <c r="C119" t="str">
        <v>호원사급</v>
      </c>
      <c r="D119" t="str">
        <v>4월기준</v>
      </c>
    </row>
    <row r="120">
      <c r="A120" t="str">
        <v>652E6-L3400</v>
      </c>
      <c r="B120">
        <v>375</v>
      </c>
      <c r="C120" t="str">
        <v>호원사급</v>
      </c>
      <c r="D120" t="str">
        <v>1월기준</v>
      </c>
    </row>
    <row r="121">
      <c r="A121" t="str">
        <v>652F6-L3400</v>
      </c>
      <c r="B121">
        <v>375</v>
      </c>
      <c r="C121" t="str">
        <v>호원사급</v>
      </c>
      <c r="D121" t="str">
        <v>1월기준</v>
      </c>
    </row>
    <row r="122">
      <c r="A122" t="str">
        <v>65132-L1000</v>
      </c>
      <c r="B122">
        <v>4644</v>
      </c>
      <c r="C122" t="str">
        <v>호원사급</v>
      </c>
      <c r="D122" t="str">
        <v>4월기준</v>
      </c>
    </row>
    <row r="123">
      <c r="A123" t="str">
        <v>65132-L2500</v>
      </c>
      <c r="B123">
        <v>5034</v>
      </c>
      <c r="C123" t="str">
        <v>호원사급</v>
      </c>
      <c r="D123" t="str">
        <v>4월기준</v>
      </c>
    </row>
    <row r="124">
      <c r="A124" t="str">
        <v>65132-L3400</v>
      </c>
      <c r="B124">
        <v>5413</v>
      </c>
      <c r="C124" t="str">
        <v>호원사급</v>
      </c>
      <c r="D124" t="str">
        <v>4월기준</v>
      </c>
    </row>
    <row r="125">
      <c r="A125" t="str">
        <v>65132-L8000</v>
      </c>
      <c r="B125">
        <v>4946</v>
      </c>
      <c r="C125" t="str">
        <v>호원사급</v>
      </c>
      <c r="D125" t="str">
        <v>4월기준</v>
      </c>
    </row>
    <row r="126">
      <c r="A126" t="str">
        <v>65132-L8400</v>
      </c>
      <c r="B126">
        <v>4587</v>
      </c>
      <c r="C126" t="str">
        <v>호원사급</v>
      </c>
      <c r="D126" t="str">
        <v>4월기준</v>
      </c>
    </row>
    <row r="127">
      <c r="A127" t="str">
        <v>65352-L1000</v>
      </c>
      <c r="B127">
        <v>499</v>
      </c>
      <c r="C127" t="str">
        <v>호원사급</v>
      </c>
      <c r="D127" t="str">
        <v>4월기준</v>
      </c>
    </row>
    <row r="128">
      <c r="A128" t="str">
        <v>65362-L1000</v>
      </c>
      <c r="B128">
        <v>499</v>
      </c>
      <c r="C128" t="str">
        <v>호원사급</v>
      </c>
      <c r="D128" t="str">
        <v>4월기준</v>
      </c>
    </row>
    <row r="129">
      <c r="A129" t="str">
        <v>65174-L1000</v>
      </c>
      <c r="B129">
        <v>797</v>
      </c>
      <c r="C129" t="str">
        <v>호원사급</v>
      </c>
      <c r="D129" t="str">
        <v>4월기준</v>
      </c>
    </row>
    <row r="130">
      <c r="A130" t="str">
        <v>65184-L1000</v>
      </c>
      <c r="B130">
        <v>797</v>
      </c>
      <c r="C130" t="str">
        <v>호원사급</v>
      </c>
      <c r="D130" t="str">
        <v>4월기준</v>
      </c>
    </row>
    <row r="131">
      <c r="A131" t="str">
        <v>65264-F6000</v>
      </c>
      <c r="B131">
        <v>70</v>
      </c>
      <c r="C131" t="str">
        <v>호원사급</v>
      </c>
      <c r="D131" t="str">
        <v>4월기준</v>
      </c>
    </row>
    <row r="132">
      <c r="A132" t="str">
        <v>65294-D4000</v>
      </c>
      <c r="B132">
        <v>86</v>
      </c>
      <c r="C132" t="str">
        <v>호원사급</v>
      </c>
      <c r="D132" t="str">
        <v>4월기준</v>
      </c>
    </row>
    <row r="133">
      <c r="A133" t="str">
        <v>65264-D4000</v>
      </c>
      <c r="B133">
        <v>86</v>
      </c>
      <c r="C133" t="str">
        <v>호원사급</v>
      </c>
      <c r="D133" t="str">
        <v>4월기준</v>
      </c>
    </row>
    <row r="134">
      <c r="A134" t="str">
        <v>651E2-L5000</v>
      </c>
      <c r="B134">
        <v>351</v>
      </c>
      <c r="C134" t="str">
        <v>호원사급</v>
      </c>
      <c r="D134" t="str">
        <v>4월기준</v>
      </c>
    </row>
    <row r="135">
      <c r="A135" t="str">
        <v>651F2-L5000</v>
      </c>
      <c r="B135">
        <v>351</v>
      </c>
      <c r="C135" t="str">
        <v>호원사급</v>
      </c>
      <c r="D135" t="str">
        <v>4월기준</v>
      </c>
    </row>
    <row r="136">
      <c r="A136" t="str">
        <v>65172-L2000</v>
      </c>
      <c r="B136">
        <v>8937</v>
      </c>
      <c r="C136" t="str">
        <v>호원사급</v>
      </c>
      <c r="D136" t="str">
        <v>4월기준</v>
      </c>
    </row>
    <row r="137">
      <c r="A137" t="str">
        <v>65182-L2000</v>
      </c>
      <c r="B137">
        <v>8937</v>
      </c>
      <c r="C137" t="str">
        <v>호원사급</v>
      </c>
      <c r="D137" t="str">
        <v>4월기준</v>
      </c>
    </row>
    <row r="138">
      <c r="A138" t="str">
        <v>65172-L8000</v>
      </c>
      <c r="B138">
        <v>10915</v>
      </c>
      <c r="C138" t="str">
        <v>호원사급</v>
      </c>
      <c r="D138" t="str">
        <v>4월기준</v>
      </c>
    </row>
    <row r="139">
      <c r="A139" t="str">
        <v>65182-L8000</v>
      </c>
      <c r="B139">
        <v>10915</v>
      </c>
      <c r="C139" t="str">
        <v>호원사급</v>
      </c>
      <c r="D139" t="str">
        <v>4월기준</v>
      </c>
    </row>
    <row r="140">
      <c r="A140" t="str">
        <v>69145-AT000</v>
      </c>
      <c r="B140">
        <v>392</v>
      </c>
      <c r="C140" t="str">
        <v>호원사급</v>
      </c>
      <c r="D140" t="str">
        <v>4월기준</v>
      </c>
    </row>
    <row r="141">
      <c r="A141" t="str">
        <v>69162-G8000</v>
      </c>
      <c r="B141">
        <v>275</v>
      </c>
      <c r="C141" t="str">
        <v>호원사급</v>
      </c>
      <c r="D141" t="str">
        <v>4월기준</v>
      </c>
    </row>
    <row r="142">
      <c r="A142" t="str">
        <v>69156-DO000 (PAD)</v>
      </c>
      <c r="B142">
        <v>1403</v>
      </c>
      <c r="C142" t="str">
        <v>호원사급</v>
      </c>
      <c r="D142" t="str">
        <v>4월기준</v>
      </c>
    </row>
    <row r="143">
      <c r="A143" t="str">
        <v>69166-DO000 (PAD)</v>
      </c>
      <c r="B143">
        <v>1403</v>
      </c>
      <c r="C143" t="str">
        <v>호원사급</v>
      </c>
      <c r="D143" t="str">
        <v>4월기준</v>
      </c>
    </row>
    <row r="144">
      <c r="A144" t="str">
        <v>65996-C5000</v>
      </c>
      <c r="B144">
        <v>522</v>
      </c>
      <c r="C144" t="str">
        <v>호원사급</v>
      </c>
      <c r="D144" t="str">
        <v>4월기준</v>
      </c>
    </row>
    <row r="145">
      <c r="A145" t="str">
        <v>99242-06100</v>
      </c>
      <c r="B145">
        <v>16.25</v>
      </c>
      <c r="C145" t="str">
        <v>호원사급</v>
      </c>
      <c r="D145" t="str">
        <v>4월기준</v>
      </c>
    </row>
    <row r="146">
      <c r="A146" t="str">
        <v>구조용 접착체</v>
      </c>
      <c r="B146">
        <v>9700</v>
      </c>
      <c r="C146" t="str">
        <v>호원사급</v>
      </c>
      <c r="D146" t="str">
        <v>4월기준</v>
      </c>
    </row>
    <row r="147">
      <c r="A147" t="str">
        <v>12904-06101</v>
      </c>
      <c r="B147">
        <v>17.39</v>
      </c>
      <c r="C147" t="str">
        <v>호원사급</v>
      </c>
      <c r="D147" t="str">
        <v>4월기준</v>
      </c>
    </row>
    <row r="148">
      <c r="A148" t="str">
        <v>64372-1F000</v>
      </c>
      <c r="B148">
        <v>14.32</v>
      </c>
      <c r="C148" t="str">
        <v>호원사급</v>
      </c>
      <c r="D148" t="str">
        <v>4월기준</v>
      </c>
    </row>
    <row r="149">
      <c r="A149" t="str">
        <v>64372-1R000</v>
      </c>
      <c r="B149">
        <v>19.078</v>
      </c>
      <c r="C149" t="str">
        <v>호원사급</v>
      </c>
      <c r="D149" t="str">
        <v>4월기준</v>
      </c>
    </row>
    <row r="150">
      <c r="A150" t="str">
        <v>84191-A7500</v>
      </c>
      <c r="B150">
        <v>38</v>
      </c>
      <c r="C150" t="str">
        <v>호원사급</v>
      </c>
      <c r="D150" t="str">
        <v>4월기준</v>
      </c>
    </row>
    <row r="151">
      <c r="A151" t="str">
        <v>81763-1Y000</v>
      </c>
      <c r="B151">
        <v>179.09199999999998</v>
      </c>
      <c r="C151" t="str">
        <v>호원사급</v>
      </c>
      <c r="D151" t="str">
        <v>4월기준</v>
      </c>
    </row>
    <row r="152">
      <c r="A152" t="str">
        <v>81838-R0600</v>
      </c>
      <c r="B152">
        <v>320</v>
      </c>
      <c r="C152" t="str">
        <v>호원사급</v>
      </c>
      <c r="D152" t="str">
        <v>4월기준</v>
      </c>
    </row>
    <row r="153">
      <c r="A153" t="str">
        <v>13905-06000</v>
      </c>
      <c r="B153">
        <v>11.400000000000002</v>
      </c>
      <c r="C153" t="str">
        <v>호원사급</v>
      </c>
      <c r="D153" t="str">
        <v>4월기준</v>
      </c>
    </row>
    <row r="154">
      <c r="A154" t="str">
        <v>13905-08000</v>
      </c>
      <c r="B154">
        <v>20.14</v>
      </c>
      <c r="C154" t="str">
        <v>호원사급</v>
      </c>
      <c r="D154" t="str">
        <v>4월기준</v>
      </c>
    </row>
    <row r="155">
      <c r="A155" t="str">
        <v>19353-07250</v>
      </c>
      <c r="B155">
        <v>181.14</v>
      </c>
      <c r="C155" t="str">
        <v>호원사급</v>
      </c>
      <c r="D155" t="str">
        <v>4월기준</v>
      </c>
    </row>
    <row r="156">
      <c r="A156" t="str">
        <v>10216-10000</v>
      </c>
      <c r="B156">
        <v>79.5</v>
      </c>
      <c r="C156" t="str">
        <v>호원사급</v>
      </c>
      <c r="D156" t="str">
        <v>4월기준</v>
      </c>
    </row>
    <row r="157">
      <c r="A157" t="str">
        <v>13917-10120</v>
      </c>
      <c r="B157">
        <v>49.5</v>
      </c>
      <c r="C157" t="str">
        <v>호원사급</v>
      </c>
      <c r="D157" t="str">
        <v>4월기준</v>
      </c>
    </row>
    <row r="158">
      <c r="A158" t="str">
        <v>12900-06140</v>
      </c>
      <c r="B158">
        <v>16.12</v>
      </c>
      <c r="C158" t="str">
        <v>호원사급</v>
      </c>
      <c r="D158" t="str">
        <v>4월기준</v>
      </c>
    </row>
    <row r="159">
      <c r="A159" t="str">
        <v>12900-06180</v>
      </c>
      <c r="B159">
        <v>17.89</v>
      </c>
      <c r="C159" t="str">
        <v>호원사급</v>
      </c>
      <c r="D159" t="str">
        <v>4월기준</v>
      </c>
    </row>
    <row r="160">
      <c r="A160" t="str">
        <v>64372-3V000</v>
      </c>
      <c r="B160">
        <v>13.05</v>
      </c>
      <c r="C160" t="str">
        <v>호원사급</v>
      </c>
      <c r="D160" t="str">
        <v>4월기준</v>
      </c>
    </row>
    <row r="161">
      <c r="A161" t="str">
        <v>12922-06201</v>
      </c>
      <c r="B161">
        <v>35.56</v>
      </c>
      <c r="C161" t="str">
        <v>호원사급</v>
      </c>
      <c r="D161" t="str">
        <v>4월기준</v>
      </c>
    </row>
    <row r="162">
      <c r="A162" t="str">
        <v>12971-06203</v>
      </c>
      <c r="B162">
        <v>29.316</v>
      </c>
      <c r="C162" t="str">
        <v>호원사급</v>
      </c>
      <c r="D162" t="str">
        <v>4월기준</v>
      </c>
    </row>
    <row r="163">
      <c r="A163" t="str">
        <v>65178-L1000</v>
      </c>
      <c r="B163">
        <v>312.6</v>
      </c>
      <c r="C163" t="str">
        <v>호원사급</v>
      </c>
      <c r="D163" t="str">
        <v>4월기준</v>
      </c>
    </row>
    <row r="164">
      <c r="A164" t="str">
        <v>65178-L3400</v>
      </c>
      <c r="B164">
        <v>414.9</v>
      </c>
      <c r="C164" t="str">
        <v>호원사급</v>
      </c>
      <c r="D164" t="str">
        <v>4월기준</v>
      </c>
    </row>
    <row r="165">
      <c r="A165" t="str">
        <v>69146-AT000</v>
      </c>
      <c r="B165">
        <v>392</v>
      </c>
      <c r="C165" t="str">
        <v>호원사급</v>
      </c>
      <c r="D165" t="str">
        <v>4월기준</v>
      </c>
    </row>
    <row r="166">
      <c r="A166" t="str">
        <v>65412-L1000</v>
      </c>
      <c r="B166">
        <v>828</v>
      </c>
      <c r="C166" t="str">
        <v>대우사급</v>
      </c>
      <c r="D166" t="str">
        <v>4월기준</v>
      </c>
    </row>
    <row r="167">
      <c r="A167" t="str">
        <v>65422-L1000</v>
      </c>
      <c r="B167">
        <v>831</v>
      </c>
      <c r="C167" t="str">
        <v>대우사급</v>
      </c>
      <c r="D167" t="str">
        <v>4월기준</v>
      </c>
    </row>
    <row r="168">
      <c r="A168" t="str">
        <v>65916-L1000</v>
      </c>
      <c r="B168">
        <v>89</v>
      </c>
      <c r="C168" t="str">
        <v>대우사급</v>
      </c>
      <c r="D168" t="str">
        <v>4월기준</v>
      </c>
    </row>
    <row r="169">
      <c r="A169" t="str">
        <v>655N6-L1000</v>
      </c>
      <c r="B169">
        <v>1184</v>
      </c>
      <c r="C169" t="str">
        <v>대우사급</v>
      </c>
      <c r="D169" t="str">
        <v>4월기준</v>
      </c>
    </row>
    <row r="170">
      <c r="A170" t="str">
        <v>655P6-L1000</v>
      </c>
      <c r="B170">
        <v>1184</v>
      </c>
      <c r="C170" t="str">
        <v>대우사급</v>
      </c>
      <c r="D170" t="str">
        <v>4월기준</v>
      </c>
    </row>
    <row r="171">
      <c r="A171" t="str">
        <v>657N2-L1000</v>
      </c>
      <c r="B171">
        <v>990</v>
      </c>
      <c r="C171" t="str">
        <v>대우사급</v>
      </c>
      <c r="D171" t="str">
        <v>4월기준</v>
      </c>
    </row>
    <row r="172">
      <c r="A172" t="str">
        <v>657P2-L1000</v>
      </c>
      <c r="B172">
        <v>949</v>
      </c>
      <c r="C172" t="str">
        <v>대우사급</v>
      </c>
      <c r="D172" t="str">
        <v>4월기준</v>
      </c>
    </row>
    <row r="173">
      <c r="A173" t="str">
        <v>65832-L1000</v>
      </c>
      <c r="B173">
        <v>1587</v>
      </c>
      <c r="C173" t="str">
        <v>대우사급</v>
      </c>
      <c r="D173" t="str">
        <v>4월기준</v>
      </c>
    </row>
    <row r="174">
      <c r="A174" t="str">
        <v>65852-L2000</v>
      </c>
      <c r="B174">
        <v>3022</v>
      </c>
      <c r="C174" t="str">
        <v>대우사급</v>
      </c>
      <c r="D174" t="str">
        <v>4월기준</v>
      </c>
    </row>
    <row r="175">
      <c r="A175" t="str">
        <v>65554-D4000</v>
      </c>
      <c r="B175">
        <v>230</v>
      </c>
      <c r="C175" t="str">
        <v>대우사급</v>
      </c>
      <c r="D175" t="str">
        <v>4월기준</v>
      </c>
    </row>
    <row r="176">
      <c r="A176" t="str">
        <v>655N6-L8400</v>
      </c>
      <c r="B176">
        <v>1132</v>
      </c>
      <c r="C176" t="str">
        <v>대우사급</v>
      </c>
      <c r="D176" t="str">
        <v>4월기준</v>
      </c>
    </row>
    <row r="177">
      <c r="A177" t="str">
        <v>655P6-L8400</v>
      </c>
      <c r="B177">
        <v>1132</v>
      </c>
      <c r="C177" t="str">
        <v>대우사급</v>
      </c>
      <c r="D177" t="str">
        <v>4월기준</v>
      </c>
    </row>
    <row r="178">
      <c r="A178" t="str">
        <v>65916-L8400</v>
      </c>
      <c r="B178">
        <v>123</v>
      </c>
      <c r="C178" t="str">
        <v>대우사급</v>
      </c>
      <c r="D178" t="str">
        <v>4월기준</v>
      </c>
    </row>
    <row r="179">
      <c r="A179" t="str">
        <v>657A6-E2510</v>
      </c>
      <c r="B179">
        <v>1064</v>
      </c>
      <c r="C179" t="str">
        <v>풍기사급</v>
      </c>
      <c r="D179" t="str">
        <v>4월기준</v>
      </c>
    </row>
    <row r="180">
      <c r="A180" t="str">
        <v>657B6-E2510</v>
      </c>
      <c r="B180">
        <v>1064</v>
      </c>
      <c r="C180" t="str">
        <v>풍기사급</v>
      </c>
      <c r="D180" t="str">
        <v>4월기준</v>
      </c>
    </row>
    <row r="181">
      <c r="A181" t="str">
        <v>65512-A3000</v>
      </c>
      <c r="B181">
        <v>4421</v>
      </c>
      <c r="C181" t="str">
        <v>풍기사급</v>
      </c>
      <c r="D181" t="str">
        <v>4월기준</v>
      </c>
    </row>
    <row r="182">
      <c r="A182" t="str">
        <v>65512-E2510</v>
      </c>
      <c r="B182">
        <v>4783</v>
      </c>
      <c r="C182" t="str">
        <v>풍기사급</v>
      </c>
      <c r="D182" t="str">
        <v>4월기준</v>
      </c>
    </row>
    <row r="183">
      <c r="A183" t="str">
        <v>65821-1Y800</v>
      </c>
      <c r="B183">
        <v>142</v>
      </c>
      <c r="C183" t="str">
        <v>풍기사급</v>
      </c>
      <c r="D183" t="str">
        <v>4월기준</v>
      </c>
    </row>
    <row r="184">
      <c r="A184" t="str">
        <v>65837-A3000</v>
      </c>
      <c r="B184">
        <v>1006</v>
      </c>
      <c r="C184" t="str">
        <v>풍기사급</v>
      </c>
      <c r="D184" t="str">
        <v>4월기준</v>
      </c>
    </row>
    <row r="185">
      <c r="A185" t="str">
        <v>65847-A3000</v>
      </c>
      <c r="B185">
        <v>857</v>
      </c>
      <c r="C185" t="str">
        <v>풍기사급</v>
      </c>
      <c r="D185" t="str">
        <v>4월기준</v>
      </c>
    </row>
    <row r="186">
      <c r="A186" t="str">
        <v>65779-1Y010</v>
      </c>
      <c r="B186">
        <v>57</v>
      </c>
      <c r="C186" t="str">
        <v>풍기사급</v>
      </c>
      <c r="D186" t="str">
        <v>4월기준</v>
      </c>
    </row>
    <row r="187">
      <c r="A187" t="str">
        <v>65789-1Y010</v>
      </c>
      <c r="B187">
        <v>57</v>
      </c>
      <c r="C187" t="str">
        <v>풍기사급</v>
      </c>
      <c r="D187" t="str">
        <v>4월기준</v>
      </c>
    </row>
    <row r="188">
      <c r="A188" t="str">
        <v>65567-E2510</v>
      </c>
      <c r="B188">
        <v>608</v>
      </c>
      <c r="C188" t="str">
        <v>풍기사급</v>
      </c>
      <c r="D188" t="str">
        <v>4월기준</v>
      </c>
    </row>
    <row r="189">
      <c r="A189" t="str">
        <v>65598-E2510</v>
      </c>
      <c r="B189">
        <v>875</v>
      </c>
      <c r="C189" t="str">
        <v>풍기사급</v>
      </c>
      <c r="D189" t="str">
        <v>4월기준</v>
      </c>
    </row>
    <row r="190">
      <c r="A190" t="str">
        <v>65798-1Y000</v>
      </c>
      <c r="B190">
        <v>421.3</v>
      </c>
      <c r="C190" t="str">
        <v>풍기사급</v>
      </c>
      <c r="D190" t="str">
        <v>4월기준</v>
      </c>
    </row>
    <row r="191">
      <c r="A191" t="str">
        <v>64749-CV000</v>
      </c>
      <c r="B191">
        <v>458.5</v>
      </c>
      <c r="C191" t="str">
        <v>풍기사급</v>
      </c>
      <c r="D191" t="str">
        <v>4월기준</v>
      </c>
    </row>
    <row r="192">
      <c r="A192" t="str">
        <v>65523-A3500</v>
      </c>
      <c r="B192">
        <v>258</v>
      </c>
      <c r="C192" t="str">
        <v>풍기사급</v>
      </c>
      <c r="D192" t="str">
        <v>4월기준</v>
      </c>
    </row>
    <row r="193">
      <c r="A193">
        <v>50007752</v>
      </c>
      <c r="B193">
        <v>14.5</v>
      </c>
      <c r="C193" t="str">
        <v>대일씨에프티</v>
      </c>
    </row>
    <row r="194">
      <c r="A194">
        <v>50007315</v>
      </c>
      <c r="B194">
        <v>32</v>
      </c>
      <c r="C194" t="str">
        <v>대일씨에프티</v>
      </c>
    </row>
    <row r="195">
      <c r="A195" t="str">
        <v>12900-06201</v>
      </c>
      <c r="B195">
        <v>24</v>
      </c>
      <c r="C195" t="str">
        <v>아신금속</v>
      </c>
    </row>
    <row r="196">
      <c r="A196" t="str">
        <v>13905-05000</v>
      </c>
      <c r="B196">
        <v>10.3</v>
      </c>
      <c r="C196" t="str">
        <v>삼진스틸</v>
      </c>
    </row>
    <row r="197">
      <c r="A197" t="str">
        <v>13194-08220</v>
      </c>
      <c r="B197">
        <v>101.3</v>
      </c>
      <c r="C197" t="str">
        <v>삼진스틸</v>
      </c>
    </row>
    <row r="198">
      <c r="A198" t="str">
        <v>13911-08001</v>
      </c>
      <c r="B198">
        <v>53.6</v>
      </c>
      <c r="C198" t="str">
        <v>삼진스틸</v>
      </c>
    </row>
    <row r="199">
      <c r="A199" t="str">
        <v>65639-3K000</v>
      </c>
      <c r="B199">
        <v>151.1</v>
      </c>
      <c r="C199" t="str">
        <v>아신금속</v>
      </c>
    </row>
    <row r="207">
      <c r="A207" t="str">
        <v>65512-C5000</v>
      </c>
      <c r="B207">
        <v>7040</v>
      </c>
    </row>
    <row r="208">
      <c r="A208" t="str">
        <v>65512-C5900</v>
      </c>
      <c r="B208">
        <v>7040</v>
      </c>
    </row>
    <row r="209">
      <c r="A209" t="str">
        <v>65522-L8400</v>
      </c>
      <c r="B209">
        <v>5513</v>
      </c>
    </row>
    <row r="210">
      <c r="A210" t="str">
        <v>65561-3E001</v>
      </c>
      <c r="B210">
        <v>12304</v>
      </c>
    </row>
    <row r="211">
      <c r="A211" t="str">
        <v>65630-L2000</v>
      </c>
      <c r="B211">
        <v>13716</v>
      </c>
    </row>
    <row r="212">
      <c r="A212" t="str">
        <v>65630-L2010</v>
      </c>
      <c r="B212">
        <v>13432</v>
      </c>
    </row>
    <row r="213">
      <c r="A213" t="str">
        <v>65630-L2020</v>
      </c>
      <c r="B213">
        <v>12981</v>
      </c>
    </row>
    <row r="214">
      <c r="A214" t="str">
        <v>65630-L2800</v>
      </c>
      <c r="B214">
        <v>11733</v>
      </c>
    </row>
    <row r="215">
      <c r="A215" t="str">
        <v>65630-L5000</v>
      </c>
      <c r="B215">
        <v>12388</v>
      </c>
    </row>
    <row r="216">
      <c r="A216" t="str">
        <v>65630-L5010</v>
      </c>
      <c r="B216">
        <v>12132</v>
      </c>
    </row>
    <row r="217">
      <c r="A217" t="str">
        <v>65630-L8400</v>
      </c>
      <c r="B217">
        <v>13372</v>
      </c>
    </row>
    <row r="218">
      <c r="A218" t="str">
        <v>65852-L3000</v>
      </c>
      <c r="B218">
        <v>3050</v>
      </c>
    </row>
    <row r="219">
      <c r="A219" t="str">
        <v>71131-2F510</v>
      </c>
      <c r="B219">
        <v>30638</v>
      </c>
    </row>
    <row r="220">
      <c r="A220" t="str">
        <v>71141-2F510</v>
      </c>
      <c r="B220">
        <v>30630</v>
      </c>
    </row>
    <row r="221">
      <c r="A221" t="str">
        <v>71201-07000</v>
      </c>
      <c r="B221">
        <v>21775</v>
      </c>
    </row>
    <row r="222">
      <c r="A222" t="str">
        <v>71201-3K001</v>
      </c>
      <c r="B222">
        <v>25631</v>
      </c>
    </row>
    <row r="223">
      <c r="A223" t="str">
        <v>71201-3L001</v>
      </c>
      <c r="B223">
        <v>25241.05</v>
      </c>
    </row>
    <row r="224">
      <c r="A224" t="str">
        <v>71202-07000</v>
      </c>
      <c r="B224">
        <v>21775</v>
      </c>
    </row>
    <row r="225">
      <c r="A225" t="str">
        <v>71202-3K001</v>
      </c>
      <c r="B225">
        <v>25627</v>
      </c>
    </row>
    <row r="226">
      <c r="A226" t="str">
        <v>71202-3L001</v>
      </c>
      <c r="B226">
        <v>25387.35</v>
      </c>
    </row>
    <row r="227">
      <c r="A227" t="str">
        <v>71377-3R000</v>
      </c>
      <c r="B227">
        <v>7734</v>
      </c>
    </row>
    <row r="228">
      <c r="A228" t="str">
        <v>71412-3R000</v>
      </c>
      <c r="B228">
        <v>3877</v>
      </c>
    </row>
    <row r="229">
      <c r="A229" t="str">
        <v>71422-3R000</v>
      </c>
      <c r="B229">
        <v>3877</v>
      </c>
    </row>
    <row r="230">
      <c r="A230" t="str">
        <v>71601-2G100</v>
      </c>
      <c r="B230">
        <v>37228</v>
      </c>
    </row>
    <row r="231">
      <c r="A231" t="str">
        <v>71602-2G100</v>
      </c>
      <c r="B231">
        <v>35639</v>
      </c>
    </row>
    <row r="232">
      <c r="A232" t="str">
        <v>71603-3E000</v>
      </c>
      <c r="B232">
        <v>34077</v>
      </c>
    </row>
    <row r="233">
      <c r="A233" t="str">
        <v>71603-3E100</v>
      </c>
      <c r="B233">
        <v>25299.95</v>
      </c>
    </row>
    <row r="234">
      <c r="A234" t="str">
        <v>71604-3E000</v>
      </c>
      <c r="B234">
        <v>38175</v>
      </c>
    </row>
    <row r="235">
      <c r="A235" t="str">
        <v>71604-3E100</v>
      </c>
      <c r="B235">
        <v>26712.6</v>
      </c>
    </row>
    <row r="236">
      <c r="A236" t="str">
        <v>71611-3E000</v>
      </c>
      <c r="B236">
        <v>21473</v>
      </c>
    </row>
    <row r="237">
      <c r="A237" t="str">
        <v>71611-3E100</v>
      </c>
      <c r="B237">
        <v>20426</v>
      </c>
    </row>
    <row r="238">
      <c r="A238" t="str">
        <v>71621-3E000</v>
      </c>
      <c r="B238">
        <v>19490</v>
      </c>
    </row>
    <row r="239">
      <c r="A239" t="str">
        <v>71621-3E100</v>
      </c>
      <c r="B239">
        <v>21604</v>
      </c>
    </row>
    <row r="240">
      <c r="A240" t="str">
        <v>71653-2P000</v>
      </c>
      <c r="B240">
        <v>2438</v>
      </c>
    </row>
    <row r="241">
      <c r="A241" t="str">
        <v>71663-2P000</v>
      </c>
      <c r="B241">
        <v>2437</v>
      </c>
    </row>
    <row r="242">
      <c r="A242" t="str">
        <v>71678-2P700</v>
      </c>
      <c r="B242">
        <v>2956</v>
      </c>
    </row>
    <row r="243">
      <c r="A243" t="str">
        <v>71688-2P700</v>
      </c>
      <c r="B243">
        <v>2956</v>
      </c>
    </row>
    <row r="244">
      <c r="A244" t="str">
        <v>71731-2P700</v>
      </c>
      <c r="B244">
        <v>2117</v>
      </c>
    </row>
    <row r="245">
      <c r="A245" t="str">
        <v>71741-2P700</v>
      </c>
      <c r="B245">
        <v>2103</v>
      </c>
    </row>
    <row r="246">
      <c r="A246" t="str">
        <v>76230-2G010</v>
      </c>
      <c r="B246">
        <v>20080</v>
      </c>
    </row>
    <row r="247">
      <c r="A247" t="str">
        <v>76231-A7000</v>
      </c>
      <c r="B247">
        <v>1294</v>
      </c>
    </row>
    <row r="248">
      <c r="A248" t="str">
        <v>76240-2G010</v>
      </c>
      <c r="B248">
        <v>20022</v>
      </c>
    </row>
    <row r="249">
      <c r="A249" t="str">
        <v>76241-A7000</v>
      </c>
      <c r="B249">
        <v>1294</v>
      </c>
    </row>
    <row r="250">
      <c r="A250" t="str">
        <v>77230-2G010</v>
      </c>
      <c r="B250">
        <v>20318</v>
      </c>
    </row>
    <row r="251">
      <c r="A251" t="str">
        <v>77240-2G010</v>
      </c>
      <c r="B251">
        <v>20314.35</v>
      </c>
    </row>
  </sheetData>
  <pageMargins left="0.7" right="0.7" top="0.75" bottom="0.75" header="0.3" footer="0.3"/>
  <ignoredErrors>
    <ignoredError numberStoredAsText="1" sqref="A1:T25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대우공업</vt:lpstr>
      <vt:lpstr>풍기산업</vt:lpstr>
      <vt:lpstr>다인</vt:lpstr>
      <vt:lpstr>호원오토</vt:lpstr>
      <vt:lpstr>인알파코리아</vt:lpstr>
      <vt:lpstr>최신단가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2023-03-04T04:21:22Z</dcterms:created>
  <dcterms:modified xsi:type="dcterms:W3CDTF">2025-08-20T05:47:51Z</dcterms:modified>
  <cp:lastModifiedBy>현 황</cp:lastModifiedBy>
  <cp:lastPrinted>2024-05-14T03:16:15Z</cp:lastPrinted>
  <dc:creator>user</dc:creator>
</cp:coreProperties>
</file>